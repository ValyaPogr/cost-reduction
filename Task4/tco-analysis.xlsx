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metadata.xml" ContentType="application/vnd.openxmlformats-officedocument.spreadsheetml.sheetMetadata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vyd="http://volga.yandex.com/schemas/document/model" xmlns:mc="http://schemas.openxmlformats.org/markup-compatibility/2006" xmlns:r="http://schemas.openxmlformats.org/officeDocument/2006/relationships" mc:Ignorable="vyd">
  <vyd:docId vyd:val="{cd3cd050-050b-440f-a5c3-fad5064c7b74}"/>
  <s:workbookPr/>
  <s:bookViews>
    <s:workbookView xWindow="3160" yWindow="2260" windowWidth="28240" windowHeight="17240"/>
  </s:bookViews>
  <s:sheets>
    <s:sheet name="Исходные данне" sheetId="1" state="visible" r:id="rId63"/>
    <s:sheet name="Расчёт остаточной стоимости" sheetId="5" state="visible" r:id="rId64"/>
    <s:sheet name="AS-IS — TCO за 3 года" sheetId="3" state="visible" r:id="rId65"/>
    <s:sheet name="TO-BE — TCO по статьям" sheetId="4" state="visible" r:id="rId66"/>
  </s:sheets>
  <s:calcPr calcId="181029"/>
</s:workbook>
</file>

<file path=xl/comments1.xml><?xml version="1.0" encoding="utf-8"?>
<s:comments xmlns:s="http://schemas.openxmlformats.org/spreadsheetml/2006/main" xmlns:xr="http://schemas.microsoft.com/office/spreadsheetml/2014/revision">
  <s:authors>
    <s:author>tc={53E04A49-62C6-44AA-B65B-CCF1D8124DEC}</s:author>
    <s:author>tc={18153E61-76CD-44BF-A37B-8F4D4B64128B}</s:author>
    <s:author>tc={5161BC46-67C8-4656-B4EC-1DB3628B7AF5}</s:author>
  </s:authors>
  <s:commentList>
    <s:comment ref="C18" authorId="0" shapeId="0" xr:uid="{53E04A49-62C6-44AA-B65B-CCF1D8124DEC}">
      <s:text>
        <s:t>[Threaded comment]
Your application allows you to read this threaded comment; however, any edits to it will get removed if the file is opened in a latest version of Excel.
Comment:
		100 × 16 ч × 2 500 ₽
</s:t>
      </s:text>
    </s:comment>
    <s:comment ref="C20" authorId="1" shapeId="0" xr:uid="{18153E61-76CD-44BF-A37B-8F4D4B64128B}">
      <s:text>
        <s:t>[Threaded comment]
Your application allows you to read this threaded comment; however, any edits to it will get removed if the file is opened in a latest version of Excel.
Comment:
		100 × 20 ч × 500 ₽
</s:t>
      </s:text>
    </s:comment>
    <s:comment ref="C21" authorId="2" shapeId="0" xr:uid="{5161BC46-67C8-4656-B4EC-1DB3628B7AF5}">
      <s:text>
        <s:t>[Threaded comment]
Your application allows you to read this threaded comment; however, any edits to it will get removed if the file is opened in a latest version of Excel.
Comment:
		100 × 8 ч × 1500 ₽
</s:t>
      </s:text>
    </s:comment>
  </s:commentList>
</s:comments>
</file>

<file path=xl/metadata.xml><?xml version="1.0" encoding="utf-8"?>
<s:metadata xmlns:s="http://schemas.openxmlformats.org/spreadsheetml/2006/main" xmlns:xda="http://schemas.microsoft.com/office/spreadsheetml/2017/dynamicarray">
  <s:metadataTypes count="2">
    <s:metadataType name="XLDAPR" minSupportedVersion="120000" copy="1" pasteAll="1" pasteValues="1" merge="1" splitFirst="1" rowColShift="1" clearFormats="1" clearComments="1" assign="1" coerce="1" cellMeta="1"/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2">
    <s:bk>
      <s:rc t="1" v="0"/>
    </s:bk>
    <s:bk>
      <s:rc t="1" v="0"/>
    </s:bk>
  </s:cellMetadata>
</s:metadata>
</file>

<file path=xl/sharedStrings.xml><?xml version="1.0" encoding="utf-8"?>
<s:sst xmlns:s="http://schemas.openxmlformats.org/spreadsheetml/2006/main">
  <s:si>
    <s:t>1. Оборудование (CapEx, на 1 магазин)</s:t>
  </s:si>
  <s:si>
    <s:t>№</s:t>
  </s:si>
  <s:si>
    <s:t>Статья</s:t>
  </s:si>
  <s:si>
    <s:t>Ед. изм.</s:t>
  </s:si>
  <s:si>
    <s:t>Стоимость</s:t>
  </s:si>
  <s:si>
    <s:t>Источник данных</s:t>
  </s:si>
  <s:si>
    <s:t>Формула / пояснение</s:t>
  </s:si>
  <s:si>
    <s:t>Сервер локальный (backroom)</s:t>
  </s:si>
  <s:si>
    <s:t>шт.</s:t>
  </s:si>
  <s:si>
    <s:t>Оценка на основе рыночных цен на серверы для ритейла (аналоги: DEPO, Aquarius)</s:t>
  </s:si>
  <s:si>
    <s:t>AS-IS: сервер в подсобке с MS SQL Express. В TO-BE ликвидируется.</s:t>
  </s:si>
  <s:si>
    <s:t>MS SQL Server Standard (лицензия)</s:t>
  </s:si>
  <s:si>
    <s:t>Реестр Минцифры: аналог — Postgres Pro Enterprise, 95 000 ₽/сервер</s:t>
  </s:si>
  <s:si>
    <s:t>AS-IS: лицензия на каждый магазин. В TO-BE — managed DB в облаке.</s:t>
  </s:si>
  <s:si>
    <s:t>Windows Server Standard (лицензия)</s:t>
  </s:si>
  <s:si>
    <s:t>Реестр Минцифры: аналог — Astra Linux Server, 65 000 ₽</s:t>
  </s:si>
  <s:si>
    <s:t>AS-IS: лицензия на каждый сервер. В TO-BE не требуется.</s:t>
  </s:si>
  <s:si>
    <s:t>POS-компьютер / моноблок</s:t>
  </s:si>
  <s:si>
    <s:t>Цена на АТОЛ Optima V7 Lite</s:t>
  </s:si>
  <s:si>
    <s:t>AS-IS: толстый клиент. В TO-BE заменяется на планшет.</s:t>
  </s:si>
  <s:si>
    <s:t>Планшет (Cloud POS)</s:t>
  </s:si>
  <s:si>
    <s:t>Оценка российских планшетов (Digma, F+, Irbis) для ритейла</s:t>
  </s:si>
  <s:si>
    <s:t>TO-BE: тонкий клиент, PWA. 1 шт. на кассу.</s:t>
  </s:si>
  <s:si>
    <s:t>Фискальный регистратор (ККТ)</s:t>
  </s:si>
  <s:si>
    <s:t>ККТ «РР-01Ф» с ФН15</s:t>
  </s:si>
  <s:si>
    <s:t>Сохраняется в обоих сценариях. Драйвер изолируется в HAL.</s:t>
  </s:si>
  <s:si>
    <s:t>Фискальный накопитель (ФН-15)</s:t>
  </s:si>
  <s:si>
    <s:t>Аренда кассы АТОЛ</s:t>
  </s:si>
  <s:si>
    <s:t>Замена каждые 15 месяцев.</s:t>
  </s:si>
  <s:si>
    <s:t>Edge Node (mini-PC / NUC)</s:t>
  </s:si>
  <s:si>
    <s:t>Оценка российских mini-PC (Аквариус, ICL)</s:t>
  </s:si>
  <s:si>
    <s:t>TO-BE: локальный агент HAL. 1 шт. на магазин.</s:t>
  </s:si>
  <s:si>
    <s:t>Банковский терминал</s:t>
  </s:si>
  <s:si>
    <s:t>Средняя цена российских терминалов (Сбер, ВТБ, Альфа)</s:t>
  </s:si>
  <s:si>
    <s:t>Остаётся в обоих сценариях. Абстрагируется через Payment Gateway.</s:t>
  </s:si>
  <s:si>
    <s:t>Сетевой коммутатор</s:t>
  </s:si>
  <s:si>
    <s:t>Оценка российских коммутаторов (Eltex, TP-Link Russia)</s:t>
  </s:si>
  <s:si>
    <s:t>Остаётся в обоих сценариях.</s:t>
  </s:si>
  <s:si>
    <s:t>2. Лицензии и подписки (OpEx, на 1 магазин / год)</s:t>
  </s:si>
  <s:si>
    <s:t>Windows Server (продление SA)</s:t>
  </s:si>
  <s:si>
    <s:t>год</s:t>
  </s:si>
  <s:si>
    <s:t>20% от CapEx лицензии</s:t>
  </s:si>
  <s:si>
    <s:t>AS-IS: Software Assurance. В TO-BE не требуется.</s:t>
  </s:si>
  <s:si>
    <s:t>MS SQL Server (продление SA)</s:t>
  </s:si>
  <s:si>
    <s:t>Cloud POS (подписка)</s:t>
  </s:si>
  <s:si>
    <s:t>мес. / магазин</s:t>
  </s:si>
  <s:si>
    <s:t>r_k Cloud Старт от 4 900 ₽/мес</s:t>
  </s:si>
  <s:si>
    <s:t>TO-BE: SaaS-подписка на 1 кассу.</s:t>
  </s:si>
  <s:si>
    <s:t>Payment Gateway (подписка)</s:t>
  </s:si>
  <s:si>
    <s:t>Оценка SaaS Payment Gateway для ритейла</s:t>
  </s:si>
  <s:si>
    <s:t>TO-BE: абстракция терминалов.</s:t>
  </s:si>
  <s:si>
    <s:t>ITSM / Monitoring (SaaS)</s:t>
  </s:si>
  <s:si>
    <s:t>Оценка ServiceNow / Datadog для ритейла</s:t>
  </s:si>
  <s:si>
    <s:t>TO-BE: proactive support.</s:t>
  </s:si>
  <s:si>
    <s:t>Managed PostgreSQL</s:t>
  </s:si>
  <s:si>
    <s:t>MWS Managed PostgreSQL 1 vCPU General</s:t>
  </s:si>
  <s:si>
    <s:t>TO-BE: замена локального MS SQL.</s:t>
  </s:si>
  <s:si>
    <s:t>Managed Kafka</s:t>
  </s:si>
  <s:si>
    <s:t>MWS Managed Apache Kafka 1 vCPU General</s:t>
  </s:si>
  <s:si>
    <s:t>TO-BE: event-driven шина.</s:t>
  </s:si>
  <s:si>
    <s:t>Managed Redis</s:t>
  </s:si>
  <s:si>
    <s:t>Оценка managed Redis в российском облаке</s:t>
  </s:si>
  <s:si>
    <s:t>TO-BE: кэш справочников и цен.</s:t>
  </s:si>
  <s:si>
    <s:t>3. ФОТ поддержки (OpEx, на 1 магазин / год)</s:t>
  </s:si>
  <s:si>
    <s:t>ИТ-инженер (выездной)</s:t>
  </s:si>
  <s:si>
    <s:t>час</s:t>
  </s:si>
  <s:si>
    <s:t>Аутстаффинг Senior от 2 500 ₽/час</s:t>
  </s:si>
  <s:si>
    <s:t>AS-IS: выезды для настройки и ремонта. В TO-BE — zero-touch.</s:t>
  </s:si>
  <s:si>
    <s:t>ИТ-инженер (удалённая поддержка)</s:t>
  </s:si>
  <s:si>
    <s:t>Аутстаффинг Middle от 1 800 ₽/час</s:t>
  </s:si>
  <s:si>
    <s:t>TO-BE: централизованная поддержка.</s:t>
  </s:si>
  <s:si>
    <s:t>Товаровед (HQ)</s:t>
  </s:si>
  <s:si>
    <s:t>Медиана зарплаты товароведа 90 000 ₽/мес</s:t>
  </s:si>
  <s:si>
    <s:t>ФОТ = 90 000 / 176 часов = 511 ₽/час. Округлено до 500 ₽.</s:t>
  </s:si>
  <s:si>
    <s:t>ИТ-директор (доля на магазин)</s:t>
  </s:si>
  <s:si>
    <s:t>1 ИТ-директор на 100 магазинов</s:t>
  </s:si>
  <s:si>
    <s:t>Распределённая стоимость.</s:t>
  </s:si>
  <s:si>
    <s:t>4. Трудозатраты на онбординг (на 1 магазин)</s:t>
  </s:si>
  <s:si>
    <s:t>Значение</s:t>
  </s:si>
  <s:si>
    <s:t>Выезд ИТ-инженера (AS-IS)</s:t>
  </s:si>
  <s:si>
    <s:t>Артефакт-2: выезд, снятие дампа</s:t>
  </s:si>
  <s:si>
    <s:t>2 дня × 8 часов.</s:t>
  </s:si>
  <s:si>
    <s:t>Командировочные расходы (AS-IS)</s:t>
  </s:si>
  <s:si>
    <s:t>поездка</s:t>
  </s:si>
  <s:si>
    <s:t>Оценка: авиабилет + гостиница + суточные</s:t>
  </s:si>
  <s:si>
    <s:t>AS-IS: выезд в регион.</s:t>
  </s:si>
  <s:si>
    <s:t>Ручной маппинг SKU (AS-IS)</s:t>
  </s:si>
  <s:si>
    <s:t>Артефакт-4: 80% вручную, 10 000 позиций</s:t>
  </s:si>
  <s:si>
    <s:t>10 000 позиций / 500 позиций в час = 20 часов.</s:t>
  </s:si>
  <s:si>
    <s:t>Ручной маппинг SKU (TO-BE)</s:t>
  </s:si>
  <s:si>
    <s:t>Целевое: 80% автоматизации</s:t>
  </s:si>
  <s:si>
    <s:t>20 часов × 20% = 4 часа верификации.</s:t>
  </s:si>
  <s:si>
    <s:t>Обучение персонала (на магазин)</s:t>
  </s:si>
  <s:si>
    <s:t>Оценка: 1 день обучения кассиров</s:t>
  </s:si>
  <s:si>
    <s:t>8 часов × стоимость часа обучения.</s:t>
  </s:si>
  <s:si>
    <s:t>Стоимость часа обучения</s:t>
  </s:si>
  <s:si>
    <s:t>SkillStaff: тренер Middle от 428 ₽/час</s:t>
  </s:si>
  <s:si>
    <s:t>Округлено до 500 ₽.</s:t>
  </s:si>
  <s:si>
    <s:t>5. Стоимость облачных ресурсов (TO-BE, на 100 магазинов / год)</s:t>
  </s:si>
  <s:si>
    <s:t>Виртуальные машины (Cloud Backend)</s:t>
  </s:si>
  <s:si>
    <s:t>мес.</s:t>
  </s:si>
  <s:si>
    <s:t>4 500 ₽ / VM</s:t>
  </s:si>
  <s:si>
    <s:t>Yandex Cloud: VM 2vCPU/4GB от 4 500 ₽/мес</s:t>
  </s:si>
  <s:si>
    <s:t>5 VM для Cloud POS, Sync, Loyalty, AI.</s:t>
  </s:si>
  <s:si>
    <s:t>Managed DB (PostgreSQL)</s:t>
  </s:si>
  <s:si>
    <s:t>MWS Managed PostgreSQL</s:t>
  </s:si>
  <s:si>
    <s:t>100 магазинов.</s:t>
  </s:si>
  <s:si>
    <s:t>MWS Managed Kafka</s:t>
  </s:si>
  <s:si>
    <s:t>Оценка российского облака</s:t>
  </s:si>
  <s:si>
    <s:t>Объектное хранилище (бэкапы)</s:t>
  </s:si>
  <s:si>
    <s:t>ТБ / мес.</s:t>
  </s:si>
  <s:si>
    <s:t>Оценка Selectel / Yandex Cloud</s:t>
  </s:si>
  <s:si>
    <s:t>5 ТБ × 500 ₽/ТБ.</s:t>
  </s:si>
  <s:si>
    <s:t>API Gateway</s:t>
  </s:si>
  <s:si>
    <s:t>Оценка Kong / российский аналог</s:t>
  </s:si>
  <s:si>
    <s:t>Общая инфраструктура.</s:t>
  </s:si>
  <s:si>
    <s:t>iPaaS (Data Integration)</s:t>
  </s:si>
  <s:si>
    <s:t>Оценка MuleSoft / Boomi для ритейла</s:t>
  </s:si>
  <s:si>
    <s:t>6. Стоимость разработки и миграции (CapEx, разово)</s:t>
  </s:si>
  <s:si>
    <s:t>Разработка HAL Agent</s:t>
  </s:si>
  <s:si>
    <s:t>чел.-час</s:t>
  </s:si>
  <s:si>
    <s:t>ITA Labs: от 3 000 ₽/час</s:t>
  </s:si>
  <s:si>
    <s:t>2 000 часов × 3 000 ₽ = 6 000 000 ₽.</s:t>
  </s:si>
  <s:si>
    <s:t>Разработка Payment Gateway (адаптеры)</s:t>
  </s:si>
  <s:si>
    <s:t>1 500 часов × 3 000 ₽ = 4 500 000 ₽.</s:t>
  </s:si>
  <s:si>
    <s:t>Разработка AI SKU Matching</s:t>
  </s:si>
  <s:si>
    <s:t>1 000 часов × 3 000 ₽ = 3 000 000 ₽.</s:t>
  </s:si>
  <s:si>
    <s:t>Миграция в облако (консалтинг)</s:t>
  </s:si>
  <s:si>
    <s:t>проект</s:t>
  </s:si>
  <s:si>
    <s:r>
      <s:rPr>
        <s:vertAlign val="baseline"/>
        <s:scheme val="minor"/>
      </s:rPr>
      <s:t>ITGLOBAL.COM</s:t>
    </s:r>
    <s:r>
      <s:rPr>
        <s:vertAlign val="baseline"/>
        <s:scheme val="minor"/>
      </s:rPr>
      <s:t>: до 500 000 ₽ на консультации</s:t>
    </s:r>
  </s:si>
  <s:si>
    <s:t>Оценка на основе грантовых программ.</s:t>
  </s:si>
  <s:si>
    <s:t>Обучение ИТ-команды</s:t>
  </s:si>
  <s:si>
    <s:t>чел.</s:t>
  </s:si>
  <s:si>
    <s:t>Оценка: курс по облачным технологиям</s:t>
  </s:si>
  <s:si>
    <s:t>5 человек × 10 000 ₽.</s:t>
  </s:si>
  <s:si>
    <s:t>7. Каналы связи (OpEx, на 1 магазин / год)</s:t>
  </s:si>
  <s:si>
    <s:t>Интернет (основной канал)</s:t>
  </s:si>
  <s:si>
    <s:t>Билайн бизнес: мобильная связь от 500 ₽/мес</s:t>
  </s:si>
  <s:si>
    <s:t>Оценка для ритейла: 2 500 ₽/мес.</s:t>
  </s:si>
  <s:si>
    <s:t>Резервный канал (LTE)</s:t>
  </s:si>
  <s:si>
    <s:t>Оценка: резервный модем</s:t>
  </s:si>
  <s:si>
    <s:t>TO-BE: для отказоустойчивости.</s:t>
  </s:si>
  <s:si>
    <s:t>8. Скрытые затраты</s:t>
  </s:si>
  <s:si>
    <s:t>Утилизация серверов (AS-IS)</s:t>
  </s:si>
  <s:si>
    <s:t>Оценка: демонтаж и утилизация</s:t>
  </s:si>
  <s:si>
    <s:t>100 серверов × 5 000 ₽.</s:t>
  </s:si>
  <s:si>
    <s:t>Простой магазина (AS-IS)</s:t>
  </s:si>
  <s:si>
    <s:t>Оценка потери выручки при простое</s:t>
  </s:si>
  <s:si>
    <s:r>
      <s:rPr>
        <s:vertAlign val="baseline"/>
        <s:scheme val="minor"/>
      </s:rPr>
      <s:t>INC-8433</s:t>
    </s:r>
    <s:r>
      <s:rPr>
        <s:vertAlign val="baseline"/>
        <s:scheme val="minor"/>
      </s:rPr>
      <s:t>: 4–6 часов простоя.</s:t>
    </s:r>
  </s:si>
  <s:si>
    <s:t>Простой магазина (TO-BE)</s:t>
  </s:si>
  <s:si>
    <s:t>Offline-first: работа без связи</s:t>
  </s:si>
  <s:si>
    <s:t>Снижение потерь на 90%.</s:t>
  </s:si>
  <s:si>
    <s:t>9. Остаточная стоимость (AS-IS)</s:t>
  </s:si>
  <s:si>
    <s:t>Сервер (остаточная)</s:t>
  </s:si>
  <s:si>
    <s:t>15% от первоначальной стоимости через 3 года</s:t>
  </s:si>
  <s:si>
    <s:t>120 000 ₽ × 0,15 = 18 000 ₽. Округлено до 20 000 ₽.</s:t>
  </s:si>
  <s:si>
    <s:t>POS-компьютер (остаточная)</s:t>
  </s:si>
  <s:si>
    <s:t>15% от первоначальной стоимости</s:t>
  </s:si>
  <s:si>
    <s:t>36 500 ₽ × 0,15 = 5 475 ₽.</s:t>
  </s:si>
  <s:si>
    <s:t>Фискальный регистратор (остаточная)</s:t>
  </s:si>
  <s:si>
    <s:t>46 330 ₽ × 0,15 = 6 950 ₽.</s:t>
  </s:si>
  <s:si>
    <s:t>10. Сводная таблица исходных данных</s:t>
  </s:si>
  <s:si>
    <s:t>Категория</s:t>
  </s:si>
  <s:si>
    <s:t>AS-IS (на 100 магазинов)</s:t>
  </s:si>
  <s:si>
    <s:t>TO-BE (на 100 магазинов)</s:t>
  </s:si>
  <s:si>
    <s:t>Разница</s:t>
  </s:si>
  <s:si>
    <s:t>CapEx (оборудование)</s:t>
  </s:si>
  <s:si>
    <s:r>
      <s:rPr>
        <s:vertAlign val="baseline"/>
        <s:scheme val="minor"/>
      </s:rPr>
      <s:t xml:space="preserve">100 × (120 000 + 36 500 + 46 330 + 9 200 + 25 000 + 8 000) = </s:t>
    </s:r>
    <s:r>
      <s:rPr>
        <s:b val="1"/>
        <s:vertAlign val="baseline"/>
        <s:scheme val="minor"/>
      </s:rPr>
      <s:t>24 503 000 ₽</s:t>
    </s:r>
  </s:si>
  <s:si>
    <s:r>
      <s:rPr>
        <s:vertAlign val="baseline"/>
        <s:scheme val="minor"/>
      </s:rPr>
      <s:t xml:space="preserve">100 × (25 000 + 46 330 + 9 200 + 35 000 + 25 000 + 8 000) = </s:t>
    </s:r>
    <s:r>
      <s:rPr>
        <s:b val="1"/>
        <s:vertAlign val="baseline"/>
        <s:scheme val="minor"/>
      </s:rPr>
      <s:t>14 853 000 ₽</s:t>
    </s:r>
  </s:si>
  <s:si>
    <s:t>−9 650 000 ₽</s:t>
  </s:si>
  <s:si>
    <s:t>CapEx (лицензии)</s:t>
  </s:si>
  <s:si>
    <s:r>
      <s:rPr>
        <s:vertAlign val="baseline"/>
        <s:scheme val="minor"/>
      </s:rPr>
      <s:t xml:space="preserve">100 × (95 000 + 65 000) = </s:t>
    </s:r>
    <s:r>
      <s:rPr>
        <s:b val="1"/>
        <s:vertAlign val="baseline"/>
        <s:scheme val="minor"/>
      </s:rPr>
      <s:t>16 000 000 ₽</s:t>
    </s:r>
  </s:si>
  <s:si>
    <s:t>−16 000 000 ₽</s:t>
  </s:si>
  <s:si>
    <s:t>CapEx (разработка + миграция)</s:t>
  </s:si>
  <s:si>
    <s:t>OpEx (ФОТ + трудозатраты, год 1)</s:t>
  </s:si>
  <s:si>
    <s:r>
      <s:rPr>
        <s:vertAlign val="baseline"/>
        <s:scheme val="minor"/>
      </s:rPr>
      <s:t xml:space="preserve">100 × (16 × 2 500 + 25 000 + 20 × 500 + 8 × 500) = </s:t>
    </s:r>
    <s:r>
      <s:rPr>
        <s:b val="1"/>
        <s:vertAlign val="baseline"/>
        <s:scheme val="minor"/>
      </s:rPr>
      <s:t>8 300 000 ₽</s:t>
    </s:r>
  </s:si>
  <s:si>
    <s:r>
      <s:rPr>
        <s:vertAlign val="baseline"/>
        <s:scheme val="minor"/>
      </s:rPr>
      <s:t xml:space="preserve">100 × (4 × 500 + 8 × 500) = </s:t>
    </s:r>
    <s:r>
      <s:rPr>
        <s:b val="1"/>
        <s:vertAlign val="baseline"/>
        <s:scheme val="minor"/>
      </s:rPr>
      <s:t>600 000 ₽</s:t>
    </s:r>
  </s:si>
  <s:si>
    <s:t>−7 700 000 ₽</s:t>
  </s:si>
  <s:si>
    <s:t>OpEx (облачные подписки, год)</s:t>
  </s:si>
  <s:si>
    <s:r>
      <s:rPr>
        <s:vertAlign val="baseline"/>
        <s:scheme val="minor"/>
      </s:rPr>
      <s:t xml:space="preserve">100 × 12 × (4 900 + 2 500 + 1 500 + 1 274 + 1 186 + 500) = </s:t>
    </s:r>
    <s:r>
      <s:rPr>
        <s:b val="1"/>
        <s:vertAlign val="baseline"/>
        <s:scheme val="minor"/>
      </s:rPr>
      <s:t>14 232 000 ₽</s:t>
    </s:r>
  </s:si>
  <s:si>
    <s:t>OpEx (каналы связи, год)</s:t>
  </s:si>
  <s:si>
    <s:r>
      <s:rPr>
        <s:vertAlign val="baseline"/>
        <s:scheme val="minor"/>
      </s:rPr>
      <s:t xml:space="preserve">100 × 12 × 2 500 = </s:t>
    </s:r>
    <s:r>
      <s:rPr>
        <s:b val="1"/>
        <s:vertAlign val="baseline"/>
        <s:scheme val="minor"/>
      </s:rPr>
      <s:t>3 000 000 ₽</s:t>
    </s:r>
  </s:si>
  <s:si>
    <s:r>
      <s:rPr>
        <s:vertAlign val="baseline"/>
        <s:scheme val="minor"/>
      </s:rPr>
      <s:t xml:space="preserve">100 × 12 × (2 500 + 1 000) = </s:t>
    </s:r>
    <s:r>
      <s:rPr>
        <s:b val="1"/>
        <s:vertAlign val="baseline"/>
        <s:scheme val="minor"/>
      </s:rPr>
      <s:t>4 200 000 ₽</s:t>
    </s:r>
  </s:si>
  <s:si>
    <s:t>Скрытые затраты</s:t>
  </s:si>
  <s:si>
    <s:r>
      <s:rPr>
        <s:vertAlign val="baseline"/>
        <s:scheme val="minor"/>
      </s:rPr>
      <s:t xml:space="preserve">100 × 5 000 + 50 000 = </s:t>
    </s:r>
    <s:r>
      <s:rPr>
        <s:b val="1"/>
        <s:vertAlign val="baseline"/>
        <s:scheme val="minor"/>
      </s:rPr>
      <s:t>550 000 ₽</s:t>
    </s:r>
  </s:si>
  <s:si>
    <s:r>
      <s:rPr>
        <s:vertAlign val="baseline"/>
        <s:scheme val="minor"/>
      </s:rPr>
      <s:t xml:space="preserve">100 × 5 000 = </s:t>
    </s:r>
    <s:r>
      <s:rPr>
        <s:b val="1"/>
        <s:vertAlign val="baseline"/>
        <s:scheme val="minor"/>
      </s:rPr>
      <s:t>500 000 ₽</s:t>
    </s:r>
  </s:si>
  <s:si>
    <s:t>−50 000 ₽</s:t>
  </s:si>
  <s:si>
    <s:t>Остаточная стоимость</s:t>
  </s:si>
  <s:si>
    <s:t>−3 200 000 ₽</s:t>
  </s:si>
  <s:si>
    <s:r>
      <s:rPr>
        <s:vertAlign val="baseline"/>
        <s:scheme val="minor"/>
      </s:rPr>
      <s:t xml:space="preserve">100 × (120 000 + 36 500 + 46 330 + 9 200 + 25 000 + 8 000) = </s:t>
    </s:r>
    <s:r>
      <s:rPr>
        <s:b val="1"/>
        <s:vertAlign val="baseline"/>
        <s:scheme val="minor"/>
      </s:rPr>
      <s:t>24 503 000 ₽</s:t>
    </s:r>
  </s:si>
  <s:si>
    <s:r>
      <s:rPr>
        <s:vertAlign val="baseline"/>
        <s:scheme val="minor"/>
      </s:rPr>
      <s:t xml:space="preserve">100 × (25 000 + 46 330 + 9 200 + 35 000 + 25 000 + 8 000) = </s:t>
    </s:r>
    <s:r>
      <s:rPr>
        <s:b val="1"/>
        <s:vertAlign val="baseline"/>
        <s:scheme val="minor"/>
      </s:rPr>
      <s:t>14 853 000 ₽</s:t>
    </s:r>
  </s:si>
  <s:si>
    <s:r>
      <s:rPr>
        <s:vertAlign val="baseline"/>
        <s:scheme val="minor"/>
      </s:rPr>
      <s:t xml:space="preserve">100 × (95 000 + 65 000) = </s:t>
    </s:r>
    <s:r>
      <s:rPr>
        <s:b val="1"/>
        <s:vertAlign val="baseline"/>
        <s:scheme val="minor"/>
      </s:rPr>
      <s:t>16 000 000 ₽</s:t>
    </s:r>
  </s:si>
  <s:si>
    <s:r>
      <s:rPr>
        <s:vertAlign val="baseline"/>
        <s:scheme val="minor"/>
      </s:rPr>
      <s:t xml:space="preserve">100 × (16 × 2 500 + 25 000 + 20 × 500 + 8 × 500) = </s:t>
    </s:r>
    <s:r>
      <s:rPr>
        <s:b val="1"/>
        <s:vertAlign val="baseline"/>
        <s:scheme val="minor"/>
      </s:rPr>
      <s:t>8 300 000 ₽</s:t>
    </s:r>
  </s:si>
  <s:si>
    <s:r>
      <s:rPr>
        <s:vertAlign val="baseline"/>
        <s:scheme val="minor"/>
      </s:rPr>
      <s:t xml:space="preserve">100 × (4 × 500 + 8 × 500) = </s:t>
    </s:r>
    <s:r>
      <s:rPr>
        <s:b val="1"/>
        <s:vertAlign val="baseline"/>
        <s:scheme val="minor"/>
      </s:rPr>
      <s:t>600 000 ₽</s:t>
    </s:r>
  </s:si>
  <s:si>
    <s:r>
      <s:rPr>
        <s:vertAlign val="baseline"/>
        <s:scheme val="minor"/>
      </s:rPr>
      <s:t xml:space="preserve">100 × 12 × (4 900 + 2 500 + 1 500 + 1 274 + 1 186 + 500) = </s:t>
    </s:r>
    <s:r>
      <s:rPr>
        <s:b val="1"/>
        <s:vertAlign val="baseline"/>
        <s:scheme val="minor"/>
      </s:rPr>
      <s:t>14 232 000 ₽</s:t>
    </s:r>
  </s:si>
  <s:si>
    <s:r>
      <s:rPr>
        <s:vertAlign val="baseline"/>
        <s:scheme val="minor"/>
      </s:rPr>
      <s:t xml:space="preserve">100 × 12 × 2 500 = </s:t>
    </s:r>
    <s:r>
      <s:rPr>
        <s:b val="1"/>
        <s:vertAlign val="baseline"/>
        <s:scheme val="minor"/>
      </s:rPr>
      <s:t>3 000 000 ₽</s:t>
    </s:r>
  </s:si>
  <s:si>
    <s:r>
      <s:rPr>
        <s:vertAlign val="baseline"/>
        <s:scheme val="minor"/>
      </s:rPr>
      <s:t xml:space="preserve">100 × 12 × (2 500 + 1 000) = </s:t>
    </s:r>
    <s:r>
      <s:rPr>
        <s:b val="1"/>
        <s:vertAlign val="baseline"/>
        <s:scheme val="minor"/>
      </s:rPr>
      <s:t>4 200 000 ₽</s:t>
    </s:r>
  </s:si>
  <s:si>
    <s:r>
      <s:rPr>
        <s:vertAlign val="baseline"/>
        <s:scheme val="minor"/>
      </s:rPr>
      <s:t xml:space="preserve">100 × 5 000 + 50 000 = </s:t>
    </s:r>
    <s:r>
      <s:rPr>
        <s:b val="1"/>
        <s:vertAlign val="baseline"/>
        <s:scheme val="minor"/>
      </s:rPr>
      <s:t>550 000 ₽</s:t>
    </s:r>
  </s:si>
  <s:si>
    <s:r>
      <s:rPr>
        <s:vertAlign val="baseline"/>
        <s:scheme val="minor"/>
      </s:rPr>
      <s:t xml:space="preserve">100 × 5 000 = </s:t>
    </s:r>
    <s:r>
      <s:rPr>
        <s:b val="1"/>
        <s:vertAlign val="baseline"/>
        <s:scheme val="minor"/>
      </s:rPr>
      <s:t>500 000 ₽</s:t>
    </s:r>
  </s:si>
  <s:si>
    <s:t>Год 1</s:t>
  </s:si>
  <s:si>
    <s:t>Год 2</s:t>
  </s:si>
  <s:si>
    <s:t>Год 3</s:t>
  </s:si>
  <s:si>
    <s:t>Итого</s:t>
  </s:si>
  <s:si>
    <s:t>Формула расчёта (словами)</s:t>
  </s:si>
  <s:si>
    <s:t>CapEx: Оборудование</s:t>
  </s:si>
  <s:si>
    <s:t>Шаг 1, раздел 1</s:t>
  </s:si>
  <s:si>
    <s:t>Сумма: серверы (100 × 120 000) + POS-компьютеры (100 × 36 500) + ККТ (100 × 46 330) + ФН (100 × 9 200) + терминалы (100 × 25 000) + коммутаторы (100 × 8 000)</s:t>
  </s:si>
  <s:si>
    <s:t>— серверы локальные</s:t>
  </s:si>
  <s:si>
    <s:t>Оценка рынка (DEPO, Aquarius)</s:t>
  </s:si>
  <s:si>
    <s:t>100 магазинов × 120 000 ₽</s:t>
  </s:si>
  <s:si>
    <s:t>— POS-компьютеры</s:t>
  </s:si>
  <s:si>
    <s:t>АТОЛ Optima V7 Lite</s:t>
  </s:si>
  <s:si>
    <s:t>100 × 36 500 ₽</s:t>
  </s:si>
  <s:si>
    <s:t>— фискальные регистраторы</s:t>
  </s:si>
  <s:si>
    <s:t>100 × 46 330 ₽</s:t>
  </s:si>
  <s:si>
    <s:t>— фискальные накопители</s:t>
  </s:si>
  <s:si>
    <s:t>100 × 9 200 ₽</s:t>
  </s:si>
  <s:si>
    <s:t>— банковские терминалы</s:t>
  </s:si>
  <s:si>
    <s:t>Средняя цена (Сбер, ВТБ, Альфа)</s:t>
  </s:si>
  <s:si>
    <s:t>100 × 25 000 ₽</s:t>
  </s:si>
  <s:si>
    <s:t>— коммутаторы</s:t>
  </s:si>
  <s:si>
    <s:t>Eltex, TP-Link Russia</s:t>
  </s:si>
  <s:si>
    <s:t>100 × 8 000 ₽</s:t>
  </s:si>
  <s:si>
    <s:t>CapEx: Лицензии</s:t>
  </s:si>
  <s:si>
    <s:t>Реестр Минцифры</s:t>
  </s:si>
  <s:si>
    <s:t>Сумма: Windows Server (100 × 65 000) + MS SQL (100 × 95 000)</s:t>
  </s:si>
  <s:si>
    <s:t>— Windows Server</s:t>
  </s:si>
  <s:si>
    <s:t>Аналог Astra Linux Server</s:t>
  </s:si>
  <s:si>
    <s:t>100 × 65 000 ₽</s:t>
  </s:si>
  <s:si>
    <s:t>— MS SQL Server</s:t>
  </s:si>
  <s:si>
    <s:t>Аналог Postgres Pro Enterprise</s:t>
  </s:si>
  <s:si>
    <s:t>100 × 95 000 ₽</s:t>
  </s:si>
  <s:si>
    <s:t>OpEx: Лицензии (SA)</s:t>
  </s:si>
  <s:si>
    <s:t>20% от CapEx лицензий</s:t>
  </s:si>
  <s:si>
    <s:t>(Windows 100 × 13 000) + (MS SQL 100 × 19 000)</s:t>
  </s:si>
  <s:si>
    <s:t>OpEx: ФОТ онбординга</s:t>
  </s:si>
  <s:si>
    <s:t>Шаг 1, раздел 4 + Артефакт-2, 4</s:t>
  </s:si>
  <s:si>
    <s:t>100 × (выезд 16 ч × 2 500 + командировка 25 000 + маппинг 20 ч × 500 + обучение 8 ч × 500)</s:t>
  </s:si>
  <s:si>
    <s:t>— выезд ИТ-инженера</s:t>
  </s:si>
  <s:si>
    <s:t>Аутстаффинг Senior 2 500 ₽/ч</s:t>
  </s:si>
  <s:si>
    <s:t>100 × 16 ч × 2 500 ₽</s:t>
  </s:si>
  <s:si>
    <s:t>— командировочные</s:t>
  </s:si>
  <s:si>
    <s:t>Оценка (авиа + гостиница + суточные)</s:t>
  </s:si>
  <s:si>
    <s:t>— ручной маппинг SKU</s:t>
  </s:si>
  <s:si>
    <s:t>Артефакт-4 (500 поз./ч)</s:t>
  </s:si>
  <s:si>
    <s:t>100 × 20 ч × 500 ₽ (10 000 поз. / 500 = 20 ч)</s:t>
  </s:si>
  <s:si>
    <s:t>— обучение персонала</s:t>
  </s:si>
  <s:si>
    <s:t>SkillStaff (тренер Middle)</s:t>
  </s:si>
  <s:si>
    <s:t>100 × 8 ч × 500 ₽</s:t>
  </s:si>
  <s:si>
    <s:t>OpEx: ФОТ поддержки</s:t>
  </s:si>
  <s:si>
    <s:t>Контекст-2 (Store Ops)</s:t>
  </s:si>
  <s:si>
    <s:t>3 FTE × 12 мес × 150 000 ₽ (команда Store Ops перегружена)</s:t>
  </s:si>
  <s:si>
    <s:t>OpEx: Каналы связи</s:t>
  </s:si>
  <s:si>
    <s:t>Билайн бизнес</s:t>
  </s:si>
  <s:si>
    <s:t>100 × 12 мес × 2 500 ₽ (основной канал, AS-IS без резерва)</s:t>
  </s:si>
  <s:si>
    <s:t>Оценка + Шаг 1, раздел 8</s:t>
  </s:si>
  <s:si>
    <s:t>Простой ( INC-8433 : 50 000 ₽) + утилизация серверов (100 × 5 000)</s:t>
  </s:si>
  <s:si>
    <s:t>−3 200 000</s:t>
  </s:si>
  <s:si>
    <s:t>15% от первоначальной</s:t>
  </s:si>
  <s:si>
    <s:t>(100 × 20 000 сервер) + (100 × 5 000 POS) + (100 × 7 000 ККТ)</s:t>
  </s:si>
  <s:si>
    <s:t>ИТОГО AS-IS</s:t>
  </s:si>
  <s:si>
    <s:t>Сумма по годам</s:t>
  </s:si>
  <s:si>
    <s:t>Количество магазинов</s:t>
  </s:si>
  <s:si>
    <s:t>=</s:t>
  </s:si>
  <s:si>
    <s:t>— Windows Server (продление SA)</s:t>
  </s:si>
  <s:si>
    <s:t>— MS SQL Server (продление SA)</s:t>
  </s:si>
  <s:si>
    <s:t>3a. Количественные показатели ФОТ</s:t>
  </s:si>
  <s:si>
    <s:t>Стоимость 1 FTE поддержки</s:t>
  </s:si>
  <s:si>
    <s:r>
      <s:rPr>
        <s:b val="1"/>
        <s:vertAlign val="baseline"/>
        <s:scheme val="minor"/>
      </s:rPr>
      <s:t>hh.ru</s:t>
    </s:r>
    <s:r>
      <s:rPr>
        <s:vertAlign val="baseline"/>
        <s:scheme val="minor"/>
      </s:rPr>
      <s:t>, Хабр Карьера + 30% на налоги и накладные</s:t>
    </s:r>
  </s:si>
  <s:si>
    <s:t>Полная стоимость сотрудника: оклад (~110 000) + НДФЛ и взносы (~30 000) + рабочее место (~10 000).</s:t>
  </s:si>
  <s:si>
    <s:t>Количество FTE поддержки (AS-IS)</s:t>
  </s:si>
  <s:si>
    <s:t>Контекст-2: Team Store Ops перегружена</s:t>
  </s:si>
  <s:si>
    <s:t>Минимальная оценка для поддержки 100 магазинов.</s:t>
  </s:si>
  <s:si>
    <s:t>Количество FTE поддержки (TO-BE)</s:t>
  </s:si>
  <s:si>
    <s:t>Шаг 3 Task1: автоматизация 70%+ тикетов</s:t>
  </s:si>
  <s:si>
    <s:t>Снижение за счёт ITSM, HAL, offline-first.</s:t>
  </s:si>
  <s:si>
    <s:t>Горизонт расчёта</s:t>
  </s:si>
  <s:si>
    <s:t>Стандарт: 1 год</s:t>
  </s:si>
  <s:si>
    <s:t>Число месяцев в году.</s:t>
  </s:si>
  <s:si>
    <s:t>**Простой магазина (**INC-8433)</s:t>
  </s:si>
  <s:si>
    <s:t>—</s:t>
  </s:si>
  <s:si>
    <s:t>Артефакт-3 + Шаг 1, п. 8.2</s:t>
  </s:si>
  <s:si>
    <s:t>1 инцидент × 5 часов × 50 000 ₽/час</s:t>
  </s:si>
  <s:si>
    <s:t>Утилизация серверов</s:t>
  </s:si>
  <s:si>
    <s:t>Шаг 1, п. 8.1</s:t>
  </s:si>
  <s:si>
    <s:t>100 серверов × 5 000 ₽</s:t>
  </s:si>
  <s:si>
    <s:t>Утилизация POS-компьютеров</s:t>
  </s:si>
  <s:si>
    <s:t>Не утилизируются в горизонте 3 лет</s:t>
  </s:si>
  <s:si>
    <s:t>Потери от обрыва связи (лояльность)</s:t>
  </s:si>
  <s:si>
    <s:t>Артефакт-3 (INC-8402)</s:t>
  </s:si>
  <s:si>
    <s:t>Учтено в простое (7.1)</s:t>
  </s:si>
  <s:si>
    <s:t>ИТОГО скрытые AS-IS</s:t>
  </s:si>
  <s:si>
    <s:t>7.1 + 7.2 + 7.3 + 7.4</s:t>
  </s:si>
  <s:si>
    <s:r>
      <s:rPr>
        <s:rFont val="Arimo"/>
        <s:color rgb="FF000000"/>
        <s:sz val="10"/>
        <s:vertAlign val="baseline"/>
        <s:scheme val="minor"/>
      </s:rPr>
      <s:t xml:space="preserve">Простой магазина </s:t>
    </s:r>
  </s:si>
  <s:si>
    <s:t>Артефакт-3 (INC-8433)</s:t>
  </s:si>
  <s:si>
    <s:t>Учтено в простое</s:t>
  </s:si>
  <s:si>
    <s:t>8.1. AS-IS — Остаточная стоимость (детализация)</s:t>
  </s:si>
  <s:si>
    <s:t>Первонач. стоимость (1 ед.)</s:t>
  </s:si>
  <s:si>
    <s:t>% остатка</s:t>
  </s:si>
  <s:si>
    <s:t>Остаточная (1 ед.)</s:t>
  </s:si>
  <s:si>
    <s:t>Кол-во</s:t>
  </s:si>
  <s:si>
    <s:t>Формула</s:t>
  </s:si>
  <s:si>
    <s:t>Сервер локальный</s:t>
  </s:si>
  <s:si>
    <s:t>−2 000 000</s:t>
  </s:si>
  <s:si>
    <s:t>Шаг 1, п. 9.1</s:t>
  </s:si>
  <s:si>
    <s:t>120 000 × 0,15 × 100</s:t>
  </s:si>
  <s:si>
    <s:t>POS-компьютер (АТОЛ Optima)</s:t>
  </s:si>
  <s:si>
    <s:t>−500 000</s:t>
  </s:si>
  <s:si>
    <s:t>Шаг 1, п. 9.2</s:t>
  </s:si>
  <s:si>
    <s:t>36 500 × 0,15 × 100 ≈ 5 475 → округлено до 5 000 ₽</s:t>
  </s:si>
  <s:si>
    <s:t>−700 000</s:t>
  </s:si>
  <s:si>
    <s:t>Шаг 1, п. 9.3</s:t>
  </s:si>
  <s:si>
    <s:t>46 330 × 0,15 × 100 ≈ 6 950 → округлено до 7 000 ₽</s:t>
  </s:si>
  <s:si>
    <s:t>Шаг 1, п. 1.10</s:t>
  </s:si>
  <s:si>
    <s:t>Не реализуется в горизонте 3 лет (низкая стоимость)</s:t>
  </s:si>
  <s:si>
    <s:t>Windows Server (лицензия)</s:t>
  </s:si>
  <s:si>
    <s:t>Лицензия не имеет остаточной стоимости</s:t>
  </s:si>
  <s:si>
    <s:t>MS SQL Server (лицензия)</s:t>
  </s:si>
  <s:si>
    <s:t>Расходный материал, не имеет остаточной стоимости</s:t>
  </s:si>
  <s:si>
    <s:t>Позиция</s:t>
  </s:si>
  <s:si>
    <s:t>Первоначальная стоимость</s:t>
  </s:si>
  <s:si>
    <s:t>Конец Года 1 (70%)</s:t>
  </s:si>
  <s:si>
    <s:t>Конец Года 2 (45%)</s:t>
  </s:si>
  <s:si>
    <s:t>Конец Года 3 (15%)</s:t>
  </s:si>
  <s:si>
    <s:t>Источник</s:t>
  </s:si>
  <s:si>
    <s:t>Шаг 1, п. 1.1</s:t>
  </s:si>
  <s:si>
    <s:t>POS-компьютер</s:t>
  </s:si>
  <s:si>
    <s:t>Шаг 1, п. 1.4</s:t>
  </s:si>
  <s:si>
    <s:t>Шаг 1, п. 1.6</s:t>
  </s:si>
  <s:si>
    <s:t>Шаг 1, п. 1.9</s:t>
  </s:si>
  <s:si>
    <s:t>ИТОГО на 1 магазин</s:t>
  </s:si>
  <s:si>
    <s:t>8.1. AS-IS — Остаточная стоимость (детализация) На 1 магазин (₽)</s:t>
  </s:si>
  <s:si>
    <s:t>Накопленные затраты (1–7)</s:t>
  </s:si>
  <s:si>
    <s:t>Сумма строк 1–7</s:t>
  </s:si>
  <s:si>
    <s:t>Net TCO (накопленные − остаточная)</s:t>
  </s:si>
  <s:si>
    <s:t>Строка «Накопленные» − строка 8</s:t>
  </s:si>
  <s:si>
    <s:t xml:space="preserve"/>
  </s:si>
  <s:si>
    <s:t>Накопленные (1–7)</s:t>
  </s:si>
  <s:si>
    <s:t>−16 508 100</s:t>
  </s:si>
  <s:si>
    <s:t>−10 612 400</s:t>
  </s:si>
  <s:si>
    <s:t>−3 537 500</s:t>
  </s:si>
  <s:si>
    <s:t>ИТОГО годовые (1–7)</s:t>
  </s:si>
  <s:si>
    <s:t>Формула расчёта</s:t>
  </s:si>
  <s:si>
    <s:t>Сумма статей 1.1–1.6</s:t>
  </s:si>
  <s:si>
    <s:t>Шаг 1, п. 1.5</s:t>
  </s:si>
  <s:si>
    <s:t>Шаг 1, п. 1.7</s:t>
  </s:si>
  <s:si>
    <s:t>Edge Node (HAL Agent)</s:t>
  </s:si>
  <s:si>
    <s:t>Шаг 1, п. 1.8</s:t>
  </s:si>
  <s:si>
    <s:t>100 × 35 000 ₽</s:t>
  </s:si>
  <s:si>
    <s:t>CapEx: Разработка</s:t>
  </s:si>
  <s:si>
    <s:t>Сумма статей 2.1–2.5</s:t>
  </s:si>
  <s:si>
    <s:t>Шаг 1, п. 6.1</s:t>
  </s:si>
  <s:si>
    <s:t>2 000 ч × 3 000 ₽</s:t>
  </s:si>
  <s:si>
    <s:t>Разработка Payment Gateway</s:t>
  </s:si>
  <s:si>
    <s:t>Шаг 1, п. 6.2</s:t>
  </s:si>
  <s:si>
    <s:t>1 500 ч × 3 000 ₽</s:t>
  </s:si>
  <s:si>
    <s:t>Шаг 1, п. 6.3</s:t>
  </s:si>
  <s:si>
    <s:t>1 000 ч × 3 000 ₽</s:t>
  </s:si>
  <s:si>
    <s:t>Миграция в облако</s:t>
  </s:si>
  <s:si>
    <s:t>Шаг 1, п. 6.4</s:t>
  </s:si>
  <s:si>
    <s:r>
      <s:rPr>
        <s:vertAlign val="baseline"/>
        <s:scheme val="minor"/>
      </s:rPr>
      <s:t xml:space="preserve">Консалтинг </s:t>
    </s:r>
    <s:r>
      <s:rPr>
        <s:color rgb="FF4E79EB"/>
        <s:vertAlign val="baseline"/>
        <s:scheme val="minor"/>
      </s:rPr>
      <s:t>ITGLOBAL.COM</s:t>
    </s:r>
  </s:si>
  <s:si>
    <s:t>Шаг 1, п. 6.5</s:t>
  </s:si>
  <s:si>
    <s:t>5 чел × 10 000 ₽</s:t>
  </s:si>
  <s:si>
    <s:t>OpEx: Облачные подписки</s:t>
  </s:si>
  <s:si>
    <s:t>Сумма статей 3.1–3.3</s:t>
  </s:si>
  <s:si>
    <s:t>Cloud POS (SaaS)</s:t>
  </s:si>
  <s:si>
    <s:t>r_k Cloud</s:t>
  </s:si>
  <s:si>
    <s:t>100 × 12 × 4 900 ₽</s:t>
  </s:si>
  <s:si>
    <s:t>ITSM / Monitoring</s:t>
  </s:si>
  <s:si>
    <s:t>ServiceNow / Datadog</s:t>
  </s:si>
  <s:si>
    <s:t>100 × 12 × 600 ₽</s:t>
  </s:si>
  <s:si>
    <s:t>Backend shared (DB, Kafka, VMs)</s:t>
  </s:si>
  <s:si>
    <s:t>MWS Managed</s:t>
  </s:si>
  <s:si>
    <s:t>Централизованные сервисы</s:t>
  </s:si>
  <s:si>
    <s:t>Сумма статей 4.1–4.2</s:t>
  </s:si>
  <s:si>
    <s:t>Верификация low-confidence</s:t>
  </s:si>
  <s:si>
    <s:t>Шаг 1, п. 3.3</s:t>
  </s:si>
  <s:si>
    <s:t>100 × 4 ч × 500 ₽</s:t>
  </s:si>
  <s:si>
    <s:t>Обучение персонала</s:t>
  </s:si>
  <s:si>
    <s:t>Шаг 1, п. 4.5–4.6</s:t>
  </s:si>
  <s:si>
    <s:t>Сумма статей 5.1</s:t>
  </s:si>
  <s:si>
    <s:t>Store Ops (2 FTE)</s:t>
  </s:si>
  <s:si>
    <s:t>Шаг 1, п. 3.5–3.8</s:t>
  </s:si>
  <s:si>
    <s:t>2 FTE × 12 мес × 150 000 ₽</s:t>
  </s:si>
  <s:si>
    <s:t>Сумма статей 6.1–6.2</s:t>
  </s:si>
  <s:si>
    <s:t>Интернет (основной)</s:t>
  </s:si>
  <s:si>
    <s:t>100 × 12 × 2 500 ₽</s:t>
  </s:si>
  <s:si>
    <s:t>Оценка</s:t>
  </s:si>
  <s:si>
    <s:t>100 × 12 × 1 000 ₽</s:t>
  </s:si>
  <s:si>
    <s:t>Сумма статей 7.1–7.4</s:t>
  </s:si>
  <s:si>
    <s:t>Простой магазина</s:t>
  </s:si>
  <s:si>
    <s:t>Offline-first</s:t>
  </s:si>
  <s:si>
    <s:t>Магазин работает без связи</s:t>
  </s:si>
  <s:si>
    <s:t>Контекст-7</s:t>
  </s:si>
  <s:si>
    <s:t>Локальные серверы ликвидированы</s:t>
  </s:si>
  <s:si>
    <s:t>Утилизация POS</s:t>
  </s:si>
  <s:si>
    <s:t>Планшеты в эксплуатации</s:t>
  </s:si>
  <s:si>
    <s:t>Потери от обрыва связи</s:t>
  </s:si>
  <s:si>
    <s:t>Шаг 1, п. 8.3</s:t>
  </s:si>
  <s:si>
    <s:t>Offline-кэш + reconciliation</s:t>
  </s:si>
  <s:si>
    <s:t>−9 753 100</s:t>
  </s:si>
  <s:si>
    <s:t>−6 269 900</s:t>
  </s:si>
  <s:si>
    <s:t>−2 090 000</s:t>
  </s:si>
  <s:si>
    <s:t>Расчёт ниже</s:t>
  </s:si>
  <s:si>
    <s:t>См. детализацию ниже</s:t>
  </s:si>
  <s:si>
    <s:t>−1 750 000</s:t>
  </s:si>
  <s:si>
    <s:t>−1 125 000</s:t>
  </s:si>
  <s:si>
    <s:t>−375 000</s:t>
  </s:si>
  <s:si>
    <s:t>70/45/15%</s:t>
  </s:si>
  <s:si>
    <s:t>100 × (17 500 / 11 250 / 3 750)</s:t>
  </s:si>
  <s:si>
    <s:t>Фискальный регистратор</s:t>
  </s:si>
  <s:si>
    <s:t>−3 243 100</s:t>
  </s:si>
  <s:si>
    <s:t>−2 084 900</s:t>
  </s:si>
  <s:si>
    <s:t>−695 000</s:t>
  </s:si>
  <s:si>
    <s:t>100 × (32 431 / 20 849 / 6 950)</s:t>
  </s:si>
  <s:si>
    <s:t>−2 450 000</s:t>
  </s:si>
  <s:si>
    <s:t>−1 575 000</s:t>
  </s:si>
  <s:si>
    <s:t>−525 000</s:t>
  </s:si>
  <s:si>
    <s:t>100 × (24 500 / 15 750 / 5 250)</s:t>
  </s:si>
  <s:si>
    <s:t>−560 000</s:t>
  </s:si>
  <s:si>
    <s:t>−360 000</s:t>
  </s:si>
  <s:si>
    <s:t>−120 000</s:t>
  </s:si>
  <s:si>
    <s:t>100 × (5 600 / 3 600 / 1 200)</s:t>
  </s:si>
  <s:si>
    <s:t>5 человек × 10 000 ₽. - минимальная команда</s:t>
  </s:si>
  <s:si>
    <s:r>
      <s:rPr>
        <s:vertAlign val="baseline"/>
        <s:scheme val="minor"/>
      </s:rPr>
      <s:t>hh.ru, Хабр Карьера + 30% на налоги и накладные</s:t>
    </s:r>
  </s:si>
  <s:si>
    <s:t>Вариант B: VMs + API Gateway + Object Storage (без iPaaS)</s:t>
  </s:si>
  <s:si>
    <s:t>Компонент</s:t>
  </s:si>
  <s:si>
    <s:t>Мес.</s:t>
  </s:si>
  <s:si>
    <s:t>Год</s:t>
  </s:si>
  <s:si>
    <s:t>4 VM × 4 500 ₽</s:t>
  </s:si>
  <s:si>
    <s:t>Object Storage (5 ТБ)</s:t>
  </s:si>
  <s:si>
    <s:t>ИТОГО</s:t>
  </s:si>
  <s:si>
    <s:t>4VM</s:t>
  </s:si>
  <s:si>
    <s:t>5. Стоимость облачных ресурсов (TO-BE)</s:t>
  </s:si>
  <s:si>
    <s:t>Сумма статей 3.1–3.6</s:t>
  </s:si>
  <s:si>
    <s:t>+</s:t>
  </s:si>
  <s:si>
    <s:t>Postgres Pro Enterprise (лицензия)</s:t>
  </s:si>
  <s:si>
    <s:t>Реестр Минцифры: Postgres Pro Enterprise, 95 000 ₽/сервер</s:t>
  </s:si>
  <s:si>
    <s:t>Postgres Pro Enterprise (продление подписки)</s:t>
  </s:si>
  <s:si>
    <s:t>Оценка: MS SQL Server Standard в России через параллельный импорт. Источник: прайс-листы реселлеров (Softline, Syssoft). Диапазон: 80 000–150 000 ₽/сервер</s:t>
  </s:si>
  <s:si>
    <s:t>Managed PostgreSQL (подписка, CapEx-эквивалент)</s:t>
  </s:si>
  <s:si>
    <s:r>
      <s:rPr>
        <s:b val="1"/>
        <s:vertAlign val="baseline"/>
        <s:scheme val="minor"/>
      </s:rPr>
      <s:t>Только для TO-BE.</s:t>
    </s:r>
    <s:r>
      <s:rPr>
        <s:vertAlign val="baseline"/>
        <s:scheme val="minor"/>
      </s:rPr>
      <s:t xml:space="preserve"> Замена локального MS SQL. </s:t>
    </s:r>
    <s:r>
      <s:rPr>
        <s:i val="1"/>
        <s:vertAlign val="baseline"/>
        <s:scheme val="minor"/>
      </s:rPr>
      <s:t>Капитализируется как OpEx — см. раздел 2.</s:t>
    </s:r>
  </s:si>
  <s:si>
    <s:r>
      <s:rPr>
        <s:vertAlign val="baseline"/>
        <s:scheme val="minor"/>
      </s:rPr>
      <s:t xml:space="preserve">Только для TO-BE. Замена локального MS SQL. </s:t>
    </s:r>
    <s:r>
      <s:rPr>
        <s:i val="1"/>
        <s:vertAlign val="baseline"/>
        <s:scheme val="minor"/>
      </s:rPr>
      <s:t>Капитализируется как OpEx — см. раздел 2.</s:t>
    </s:r>
  </s:si>
  <s:si>
    <s:t>20% от CapEx лицензии (95 000 × 0,2 = 19 000 ₽)</s:t>
  </s:si>
  <s:si>
    <s:t>MWS Managed PostgreSQL 1 vCPU General (1 273,68 ₽/мес)</s:t>
  </s:si>
  <s:si>
    <s:t>5.1</s:t>
  </s:si>
  <s:si>
    <s:t>5.2</s:t>
  </s:si>
  <s:si>
    <s:t>5.3</s:t>
  </s:si>
  <s:si>
    <s:t>5.4</s:t>
  </s:si>
  <s:si>
    <s:t>5.5</s:t>
  </s:si>
  <s:si>
    <s:t>5.6</s:t>
  </s:si>
  <s:si>
    <s:t>4.1</s:t>
  </s:si>
  <s:si>
    <s:t>4.2</s:t>
  </s:si>
  <s:si>
    <s:t>4.3</s:t>
  </s:si>
  <s:si>
    <s:t>4.5</s:t>
  </s:si>
  <s:si>
    <s:t>4.4</s:t>
  </s:si>
  <s:si>
    <s:t>4.6</s:t>
  </s:si>
  <s:si>
    <s:t>3а.1</s:t>
  </s:si>
  <s:si>
    <s:t>3а.2</s:t>
  </s:si>
  <s:si>
    <s:t>3а.3</s:t>
  </s:si>
  <s:si>
    <s:t>3а.5</s:t>
  </s:si>
  <s:si>
    <s:t>3а.4</s:t>
  </s:si>
  <s:si>
    <s:t>3.1</s:t>
  </s:si>
  <s:si>
    <s:t>3.2</s:t>
  </s:si>
  <s:si>
    <s:t>3.3</s:t>
  </s:si>
  <s:si>
    <s:t>3.4</s:t>
  </s:si>
  <s:si>
    <s:t>2.1</s:t>
  </s:si>
  <s:si>
    <s:t>2.2</s:t>
  </s:si>
  <s:si>
    <s:t>2.3</s:t>
  </s:si>
  <s:si>
    <s:t>2.4</s:t>
  </s:si>
  <s:si>
    <s:t>2.7</s:t>
  </s:si>
  <s:si>
    <s:t>2.5</s:t>
  </s:si>
  <s:si>
    <s:t>2.8</s:t>
  </s:si>
  <s:si>
    <s:t>2.6</s:t>
  </s:si>
  <s:si>
    <s:t>1.1.</s:t>
  </s:si>
  <s:si>
    <s:t>1.1</s:t>
  </s:si>
  <s:si>
    <s:t>1.2</s:t>
  </s:si>
  <s:si>
    <s:t>1.3</s:t>
  </s:si>
  <s:si>
    <s:t>1.4</s:t>
  </s:si>
  <s:si>
    <s:t>1.7</s:t>
  </s:si>
  <s:si>
    <s:t>1.10</s:t>
  </s:si>
  <s:si>
    <s:t>1.5</s:t>
  </s:si>
  <s:si>
    <s:t>1.8</s:t>
  </s:si>
  <s:si>
    <s:t>1.11</s:t>
  </s:si>
  <s:si>
    <s:t>1.6</s:t>
  </s:si>
  <s:si>
    <s:t>1.9</s:t>
  </s:si>
  <s:si>
    <s:t>6.1</s:t>
  </s:si>
  <s:si>
    <s:t>6.2</s:t>
  </s:si>
  <s:si>
    <s:t>6.3</s:t>
  </s:si>
  <s:si>
    <s:t>6.4</s:t>
  </s:si>
  <s:si>
    <s:t>6.5</s:t>
  </s:si>
  <s:si>
    <s:t>Расчёт</s:t>
  </s:si>
  <s:si>
    <s:t>См. детализацию в Confluence</s:t>
  </s:si>
  <s:si>
    <s:t>Детализация</s:t>
  </s:si>
  <s:si>
    <s:t>Годовые затраты (1–7)</s:t>
  </s:si>
  <s:si>
    <s:t>Остаточная стоимость (конец года)</s:t>
  </s:si>
  <s:si>
    <s:t>100 × 12 × 1 500 ₽</s:t>
  </s:si>
  <s:si>
    <s:t>Оценка: 1 день обучения кассиров
Актуальная ставка внешнего тренера Middle на SkillStaff — 1 428 ₽/час. Если обучение проводит внешний тренер, значение нужно увеличить.</s:t>
  </s:si>
  <s:si>
    <s:t>7.1</s:t>
  </s:si>
  <s:si>
    <s:t>7.2</s:t>
  </s:si>
  <s:si>
    <s:t>8.1</s:t>
  </s:si>
  <s:si>
    <s:t>8.2</s:t>
  </s:si>
  <s:si>
    <s:t>8.3</s:t>
  </s:si>
  <s:si>
    <s:t>9.1</s:t>
  </s:si>
  <s:si>
    <s:t>9.2</s:t>
  </s:si>
  <s:si>
    <s:t>9.3</s:t>
  </s:si>
  <s:si>
    <s:t>Windows Server</s:t>
  </s:si>
  <s:si>
    <s:t>100 × (84 000 / 54 000 / 18 000)</s:t>
  </s:si>
  <s:si>
    <s:t>100 × (25 550 / 16 425 / 5 475)</s:t>
  </s:si>
  <s:si>
    <s:t>100 × 8 ч × 1 500 ₽</s:t>
  </s:si>
  <s:si>
    <s:t>Payment Gateway</s:t>
  </s:si>
  <s:si>
    <s:t>3.5</s:t>
  </s:si>
  <s:si>
    <s:t>3.6</s:t>
  </s:si>
  <s:si>
    <s:t>3.7</s:t>
  </s:si>
  <s:si>
    <s:t>3.8</s:t>
  </s:si>
  <s:si>
    <s:t>3.9</s:t>
  </s:si>
  <s:si>
    <s:t>iPaaS</s:t>
  </s:si>
  <s:si>
    <s:t>3.10</s:t>
  </s:si>
  <s:si>
    <s:t>7.3</s:t>
  </s:si>
  <s:si>
    <s:t>7.4</s:t>
  </s:si>
  <s:si>
    <s:t>8.4</s:t>
  </s:si>
  <s:si>
    <s:t>8.5</s:t>
  </s:si>
  <s:si>
    <s:t>5VM</s:t>
  </s:si>
  <s:si>
    <s:t>Оценка: 1 день обучения кассиров
Актуальная ставка внешнего тренера Middle на SkillStaff — 1 428 ₽/час. Если обучение проводит внешний тренер, значение нужно увеличить. Округляем до 1 500 р/час</s:t>
  </s:si>
  <s:si>
    <s:t>2. Лицензии и подписки (OpEx)</s:t>
  </s:si>
  <s:si>
    <s:t>Сумма статей 3.1–3.9</s:t>
  </s:si>
  <s:si>
    <s:t>TCO AS-IS</s:t>
  </s:si>
  <s:si>
    <s:t>Исходные данные</s:t>
  </s:si>
  <s:si>
    <s:t>TCO TO-BE</s:t>
  </s:si>
  <s:si>
    <s:t>MS SQL Express</s:t>
  </s:si>
  <s:si>
    <s:t>бесплатный, лицензия не нужна</s:t>
  </s:si>
  <s:si>
    <s:t>AS-IS</s:t>
  </s:si>
  <s:si>
    <s:t>SaaS-подписка на 1 кассу.</s:t>
  </s:si>
  <s:si>
    <s:t>мес. (backend)</s:t>
  </s:si>
  <s:si>
    <s:t>Шаг 1, п. 4.5</s:t>
  </s:si>
  <s:si>
    <s:t>Обучение персонала (ставка)</s:t>
  </s:si>
  <s:si>
    <s:t>Количество FTE (AS-IS)</s:t>
  </s:si>
  <s:si>
    <s:t>шт</s:t>
  </s:si>
  <s:si>
    <s:t>3а.6</s:t>
  </s:si>
  <s:si>
    <s:t>Количество FTE (TO-BE)</s:t>
  </s:si>
  <s:si>
    <s:t>3а.7</s:t>
  </s:si>
  <s:si>
    <s:t>Горизонт</s:t>
  </s:si>
  <s:si>
    <s:t>мес</s:t>
  </s:si>
  <s:si>
    <s:t>Стоимость,</s:t>
  </s:si>
  <s:si>
    <s:t>Стоимость,
рубль</s:t>
  </s:si>
  <s:si>
    <s:t>чел</s:t>
  </s:si>
  <s:si>
    <s:t>Расчёт остаточной стоимости</s:t>
  </s:si>
  <s:si>
    <s:t>аблица 1. AS-IS — на 1 магазин (₽)</s:t>
  </s:si>
  <s:si>
    <s:t>Первоначальная</s:t>
  </s:si>
  <s:si>
    <s:t>Таблица 3. TO-BE — на 1 магазин (₽)</s:t>
  </s:si>
  <s:si>
    <s:t>Таблица 1. AS-IS — на 1 магазин (₽)</s:t>
  </s:si>
  <s:si>
    <s:t>Лист ""</s:t>
  </s:si>
  <s:si>
    <s:t>Лист "Расчёт остаточной стоимости"</s:t>
  </s:si>
  <s:si>
    <s:t>Лист "Расчёт остаточной стоимости"
умножить на количество магазинов в расчёте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</s:si>
</s:sst>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9">
    <s:numFmt numFmtId="164" formatCode="dd\.mm"/>
    <s:numFmt numFmtId="165" formatCode="#,##0 [$₽-419]"/>
    <s:numFmt numFmtId="166" formatCode="_-* #,##0.00 [$₽-419];-* #,##0.00 [$₽-419];_-* - [$₽-419];_-@"/>
    <s:numFmt numFmtId="167" formatCode="_-* #,##0.0 [$₽-419];-* #,##0.0 [$₽-419];_-* - [$₽-419];_-@"/>
    <s:numFmt numFmtId="168" formatCode="_-* #,##0 [$₽-419];-* #,##0 [$₽-419];_-* - [$₽-419];_-@"/>
    <s:numFmt numFmtId="169" formatCode="#,##0"/>
    <s:numFmt numFmtId="170" formatCode="0%"/>
    <s:numFmt numFmtId="171" formatCode="0.0%"/>
    <s:numFmt numFmtId="172" formatCode="0.0"/>
  </s:numFmts>
  <s:fonts count="14">
    <s:font>
      <s:name val="Arimo"/>
      <s:family val="2"/>
      <s:color theme="1"/>
      <s:sz val="10"/>
    </s:font>
    <s:font>
      <s:b val="1"/>
    </s:font>
    <s:font>
      <s:b val="0"/>
    </s:font>
    <s:font>
      <s:b val="0"/>
    </s:font>
    <s:font>
      <s:name val="YS Text"/>
      <s:b val="1"/>
      <s:color rgb="FF000000"/>
      <s:sz val="18"/>
    </s:font>
    <s:font>
      <s:name val="YS Text"/>
      <s:b val="1"/>
      <s:color rgb="FF000000"/>
      <s:sz val="16"/>
    </s:font>
    <s:font>
      <s:name val="YS Text"/>
      <s:b val="1"/>
      <s:color rgb="FF000000"/>
      <s:sz val="14"/>
    </s:font>
    <s:font>
      <s:name val="YS Text"/>
      <s:b val="1"/>
      <s:color rgb="FF000000"/>
      <s:sz val="12"/>
    </s:font>
    <s:font>
      <s:name val="YS Text"/>
      <s:b val="1"/>
      <s:color rgb="FF000000"/>
      <s:sz val="11"/>
    </s:font>
    <s:font>
      <s:name val="Arimo"/>
      <s:family val="2"/>
      <s:b val="1"/>
      <s:color theme="1"/>
      <s:sz val="10"/>
    </s:font>
    <s:font>
      <s:b val="1"/>
      <s:color rgb="FF0F1115"/>
    </s:font>
    <s:font>
      <s:name val="Arimo"/>
      <s:color rgb="FF000000"/>
      <s:sz val="10"/>
    </s:font>
    <s:font>
      <s:name val="Arimo"/>
      <s:b val="1"/>
      <s:color rgb="FF000000"/>
      <s:sz val="10"/>
    </s:font>
    <s:font>
      <s:name val="YS Text"/>
      <s:b val="1"/>
      <s:color rgb="FF000000"/>
      <s:sz val="15"/>
    </s:font>
  </s:fonts>
  <s:fills count="12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FFFFFF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03FFFF"/>
        <s:bgColor rgb="FF03FFFF"/>
      </s:patternFill>
    </s:fill>
    <s:fill>
      <s:patternFill patternType="solid">
        <s:fgColor rgb="FFFFEDBA"/>
        <s:bgColor rgb="FFFFEDBA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FFFF00"/>
      </s:patternFill>
    </s:fill>
  </s:fills>
  <s:borders count="11">
    <s:border>
      <s:left/>
      <s:right/>
      <s:top/>
      <s:bottom/>
      <s:diagonal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/>
      <s:right/>
      <s:top/>
      <s:bottom/>
    </s:border>
    <s:border>
      <s:left style="thin"/>
      <s:right style="thin"/>
      <s:top style="thin"/>
      <s:bottom style="thin"/>
    </s:border>
    <s:border>
      <s:bottom style="solid">
        <s:color rgb="FF000000"/>
      </s:bottom>
    </s:border>
    <s:border>
      <s:top style="none">
        <s:color rgb="none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thin"/>
    </s:border>
    <s:border>
      <s:left style="solid">
        <s:color rgb="FF000000"/>
      </s:left>
      <s:right style="solid">
        <s:color rgb="FF000000"/>
      </s:right>
      <s:top style="thin"/>
      <s:bottom style="solid">
        <s:color rgb="FF000000"/>
      </s:bottom>
    </s:border>
    <s:border>
      <s:left/>
      <s:right/>
      <s:top style="thin"/>
      <s:bottom/>
    </s:border>
    <s:border>
      <s:left/>
      <s:right/>
      <s:top/>
      <s:bottom style="thin"/>
    </s:border>
  </s:borders>
  <s:cellStyleXfs count="1">
    <s:xf numFmtId="0" fontId="0" fillId="0" borderId="0"/>
  </s:cellStyleXfs>
  <s:cellXfs count="660">
    <s:xf numFmtId="0" fontId="0" fillId="0" borderId="0" xfId="0"/>
    <s:xf fontId="1" applyFont="1"/>
    <s:xf applyAlignment="1">
      <s:alignment horizontal="left" mc:Ignorable="vyd"/>
    </s:xf>
    <s:xf numFmtId="164" applyNumberFormat="1" applyAlignment="1">
      <s:alignment horizontal="left" mc:Ignorable="vyd"/>
    </s:xf>
    <s:xf fontId="1" applyFont="1" applyAlignment="1">
      <s:alignment horizontal="left" mc:Ignorable="vyd"/>
    </s:xf>
    <s:xf numFmtId="165" applyNumberFormat="1" applyAlignment="1">
      <s:alignment horizontal="left" mc:Ignorable="vyd"/>
    </s:xf>
    <s:xf numFmtId="165" fontId="1" applyNumberFormat="1" applyFont="1" applyAlignment="1">
      <s:alignment horizontal="left" mc:Ignorable="vyd"/>
    </s:xf>
    <s:xf fillId="2" applyFill="1"/>
    <s:xf fontId="1" fillId="2" applyFont="1" applyFill="1"/>
    <s:xf fontId="1" fillId="2" applyFont="1" applyFill="1" applyAlignment="1">
      <s:alignment horizontal="left" mc:Ignorable="vyd"/>
    </s:xf>
    <s:xf numFmtId="165" fillId="2" applyNumberFormat="1" applyFill="1" applyAlignment="1">
      <s:alignment horizontal="left" mc:Ignorable="vyd"/>
    </s:xf>
    <s:xf numFmtId="165" fontId="1" fillId="2" applyNumberFormat="1" applyFont="1" applyFill="1" applyAlignment="1">
      <s:alignment horizontal="left" mc:Ignorable="vyd"/>
    </s:xf>
    <s:xf fontId="1" fillId="2" applyFont="1" applyFill="1" applyAlignment="1">
      <s:alignment horizontal="left" mc:Ignorable="vyd"/>
    </s:xf>
    <s:xf fillId="2" applyFill="1" applyAlignment="1">
      <s:alignment horizontal="left" mc:Ignorable="vyd"/>
    </s:xf>
    <s:xf numFmtId="165" fillId="2" applyNumberFormat="1" applyFill="1" applyAlignment="1">
      <s:alignment horizontal="left" mc:Ignorable="vyd"/>
    </s:xf>
    <s:xf fontId="1" fillId="2" applyFont="1" applyFill="1" applyAlignment="1">
      <s:alignment horizontal="left" mc:Ignorable="vyd"/>
    </s:xf>
    <s:xf fillId="2" applyFill="1" applyAlignment="1">
      <s:alignment horizontal="left" mc:Ignorable="vyd"/>
    </s:xf>
    <s:xf fillId="0" applyFill="1"/>
    <s:xf fontId="1" fillId="0" applyFont="1" applyFill="1" applyAlignment="1">
      <s:alignment horizontal="left" mc:Ignorable="vyd"/>
    </s:xf>
    <s:xf numFmtId="165" fillId="0" applyNumberFormat="1" applyFill="1" applyAlignment="1">
      <s:alignment horizontal="left" mc:Ignorable="vyd"/>
    </s:xf>
    <s:xf numFmtId="165" fontId="1" fillId="0" applyNumberFormat="1" applyFont="1" applyFill="1" applyAlignment="1">
      <s:alignment horizontal="left" mc:Ignorable="vyd"/>
    </s:xf>
    <s:xf applyAlignment="1">
      <s:alignment wrapText="1" vyd:clipText="0" mc:Ignorable="vyd"/>
    </s:xf>
    <s:xf fontId="1" fillId="2" applyFont="1" applyFill="1" applyAlignment="1">
      <s:alignment wrapText="1" vyd:clipText="0" mc:Ignorable="vyd"/>
    </s:xf>
    <s:xf applyAlignment="1">
      <s:alignment horizontal="left" wrapText="1" vyd:clipText="0" mc:Ignorable="vyd"/>
    </s:xf>
    <s:xf numFmtId="164" applyNumberFormat="1" applyAlignment="1">
      <s:alignment horizontal="left" wrapText="1" vyd:clipText="0" mc:Ignorable="vyd"/>
    </s:xf>
    <s:xf fontId="1" fillId="0" applyFont="1" applyFill="1" applyAlignment="1">
      <s:alignment horizontal="left" wrapText="1" vyd:clipText="0" mc:Ignorable="vyd"/>
    </s:xf>
    <s:xf fontId="1" applyFont="1" applyAlignment="1">
      <s:alignment horizontal="left" wrapText="1" vyd:clipText="0" mc:Ignorable="vyd"/>
    </s:xf>
    <s:xf fillId="2" applyFill="1" applyAlignment="1">
      <s:alignment wrapText="1" vyd:clipText="0" mc:Ignorable="vyd"/>
    </s:xf>
    <s:xf numFmtId="165" fillId="0" applyNumberFormat="1" applyFill="1" applyAlignment="1">
      <s:alignment horizontal="left" wrapText="1" vyd:clipText="0" mc:Ignorable="vyd"/>
    </s:xf>
    <s:xf numFmtId="165" applyNumberFormat="1" applyAlignment="1">
      <s:alignment horizontal="left" wrapText="1" vyd:clipText="0" mc:Ignorable="vyd"/>
    </s:xf>
    <s:xf numFmtId="165" fontId="1" applyNumberFormat="1" applyFont="1" applyAlignment="1">
      <s:alignment horizontal="left" wrapText="1" vyd:clipText="0" mc:Ignorable="vyd"/>
    </s:xf>
    <s:xf numFmtId="166" applyNumberFormat="1"/>
    <s:xf numFmtId="166" fillId="2" applyNumberFormat="1" applyFill="1"/>
    <s:xf numFmtId="166" applyNumberFormat="1" applyAlignment="1">
      <s:alignment horizontal="left" mc:Ignorable="vyd"/>
    </s:xf>
    <s:xf numFmtId="166" fontId="1" fillId="0" applyNumberFormat="1" applyFont="1" applyFill="1" applyAlignment="1">
      <s:alignment horizontal="left" mc:Ignorable="vyd"/>
    </s:xf>
    <s:xf numFmtId="166" fontId="1" applyNumberFormat="1" applyFont="1" applyAlignment="1">
      <s:alignment horizontal="left" mc:Ignorable="vyd"/>
    </s:xf>
    <s:xf numFmtId="167" fillId="2" applyNumberFormat="1" applyFill="1"/>
    <s:xf numFmtId="167" applyNumberFormat="1" applyAlignment="1">
      <s:alignment horizontal="left" mc:Ignorable="vyd"/>
    </s:xf>
    <s:xf numFmtId="167" fontId="1" fillId="0" applyNumberFormat="1" applyFont="1" applyFill="1" applyAlignment="1">
      <s:alignment horizontal="left" mc:Ignorable="vyd"/>
    </s:xf>
    <s:xf numFmtId="167" fontId="1" applyNumberFormat="1" applyFont="1" applyAlignment="1">
      <s:alignment horizontal="left" mc:Ignorable="vyd"/>
    </s:xf>
    <s:xf numFmtId="168" fillId="2" applyNumberFormat="1" applyFill="1"/>
    <s:xf numFmtId="168" applyNumberFormat="1" applyAlignment="1">
      <s:alignment horizontal="left" mc:Ignorable="vyd"/>
    </s:xf>
    <s:xf numFmtId="168" fontId="1" fillId="0" applyNumberFormat="1" applyFont="1" applyFill="1" applyAlignment="1">
      <s:alignment horizontal="left" mc:Ignorable="vyd"/>
    </s:xf>
    <s:xf numFmtId="168" fontId="1" applyNumberFormat="1" applyFont="1" applyAlignment="1">
      <s:alignment horizontal="left" mc:Ignorable="vyd"/>
    </s:xf>
    <s:xf fillId="2" applyFill="1" applyAlignment="1">
      <s:alignment wrapText="0" vyd:clipText="0" mc:Ignorable="vyd"/>
    </s:xf>
    <s:xf fontId="1" fillId="2" applyFont="1" applyFill="1" applyAlignment="1">
      <s:alignment wrapText="0" vyd:clipText="0" mc:Ignorable="vyd"/>
    </s:xf>
    <s:xf numFmtId="168" fillId="2" applyNumberFormat="1" applyFill="1" applyAlignment="1">
      <s:alignment wrapText="0" vyd:clipText="0" mc:Ignorable="vyd"/>
    </s:xf>
    <s:xf fillId="2" applyFill="1" applyAlignment="1">
      <s:alignment vertical="top" mc:Ignorable="vyd"/>
    </s:xf>
    <s:xf fontId="1" fillId="2" applyFont="1" applyFill="1" applyAlignment="1">
      <s:alignment vertical="top" wrapText="1" vyd:clipText="0" mc:Ignorable="vyd"/>
    </s:xf>
    <s:xf fillId="2" applyFill="1" applyAlignment="1">
      <s:alignment vertical="top" wrapText="1" vyd:clipText="0" mc:Ignorable="vyd"/>
    </s:xf>
    <s:xf numFmtId="168" fillId="2" applyNumberFormat="1" applyFill="1" applyAlignment="1">
      <s:alignment vertical="top" mc:Ignorable="vyd"/>
    </s:xf>
    <s:xf applyAlignment="1">
      <s:alignment vertical="top" wrapText="1" vyd:clipText="0" mc:Ignorable="vyd"/>
    </s:xf>
    <s:xf applyAlignment="1">
      <s:alignment vertical="top" mc:Ignorable="vyd"/>
    </s:xf>
    <s:xf numFmtId="166" applyNumberFormat="1" applyAlignment="1">
      <s:alignment vertical="top" mc:Ignorable="vyd"/>
    </s:xf>
    <s:xf fontId="1" fillId="2" applyFont="1" applyFill="1" applyAlignment="1">
      <s:alignment vertical="top" wrapText="0" vyd:clipText="0" mc:Ignorable="vyd"/>
    </s:xf>
    <s:xf fillId="2" applyFill="1" applyAlignment="1">
      <s:alignment vertical="top" wrapText="0" vyd:clipText="0" mc:Ignorable="vyd"/>
    </s:xf>
    <s:xf numFmtId="168" fillId="2" applyNumberFormat="1" applyFill="1" applyAlignment="1">
      <s:alignment vertical="top" wrapText="0" vyd:clipText="0" mc:Ignorable="vyd"/>
    </s:xf>
    <s:xf applyAlignment="1">
      <s:alignment horizontal="left" vertical="top" wrapText="1" vyd:clipText="0" mc:Ignorable="vyd"/>
    </s:xf>
    <s:xf applyAlignment="1">
      <s:alignment horizontal="left" vertical="top" mc:Ignorable="vyd"/>
    </s:xf>
    <s:xf numFmtId="168" applyNumberFormat="1" applyAlignment="1">
      <s:alignment horizontal="left" vertical="top" mc:Ignorable="vyd"/>
    </s:xf>
    <s:xf numFmtId="164" applyNumberFormat="1" applyAlignment="1">
      <s:alignment horizontal="left" vertical="top" wrapText="1" vyd:clipText="0" mc:Ignorable="vyd"/>
    </s:xf>
    <s:xf fontId="1" applyFont="1" applyAlignment="1">
      <s:alignment horizontal="left" vertical="top" wrapText="1" vyd:clipText="0" mc:Ignorable="vyd"/>
    </s:xf>
    <s:xf fontId="1" fillId="0" applyFont="1" applyFill="1" applyAlignment="1">
      <s:alignment horizontal="left" vertical="top" wrapText="1" vyd:clipText="0" mc:Ignorable="vyd"/>
    </s:xf>
    <s:xf numFmtId="165" fillId="0" applyNumberFormat="1" applyFill="1" applyAlignment="1">
      <s:alignment horizontal="left" vertical="top" wrapText="1" vyd:clipText="0" mc:Ignorable="vyd"/>
    </s:xf>
    <s:xf numFmtId="165" fillId="0" applyNumberFormat="1" applyFill="1" applyAlignment="1">
      <s:alignment horizontal="left" vertical="top" mc:Ignorable="vyd"/>
    </s:xf>
    <s:xf numFmtId="168" fontId="1" fillId="0" applyNumberFormat="1" applyFont="1" applyFill="1" applyAlignment="1">
      <s:alignment horizontal="left" vertical="top" mc:Ignorable="vyd"/>
    </s:xf>
    <s:xf fillId="0" applyFill="1" applyAlignment="1">
      <s:alignment vertical="top" mc:Ignorable="vyd"/>
    </s:xf>
    <s:xf numFmtId="165" fontId="1" fillId="0" applyNumberFormat="1" applyFont="1" applyFill="1" applyAlignment="1">
      <s:alignment horizontal="left" vertical="top" mc:Ignorable="vyd"/>
    </s:xf>
    <s:xf numFmtId="168" fontId="1" applyNumberFormat="1" applyFont="1" applyAlignment="1">
      <s:alignment horizontal="left" vertical="top" mc:Ignorable="vyd"/>
    </s:xf>
    <s:xf numFmtId="165" applyNumberFormat="1" applyAlignment="1">
      <s:alignment horizontal="left" vertical="top" wrapText="1" vyd:clipText="0" mc:Ignorable="vyd"/>
    </s:xf>
    <s:xf numFmtId="165" fontId="1" applyNumberFormat="1" applyFont="1" applyAlignment="1">
      <s:alignment horizontal="left" vertical="top" wrapText="1" vyd:clipText="0" mc:Ignorable="vyd"/>
    </s:xf>
    <s:xf numFmtId="165" applyNumberFormat="1" applyAlignment="1">
      <s:alignment horizontal="left" vertical="top" mc:Ignorable="vyd"/>
    </s:xf>
    <s:xf numFmtId="166" applyNumberFormat="1" applyAlignment="1">
      <s:alignment vertical="top" wrapText="1" vyd:clipText="0" mc:Ignorable="vyd"/>
    </s:xf>
    <s:xf numFmtId="168" applyNumberFormat="1" applyAlignment="1">
      <s:alignment horizontal="left" vertical="top" wrapText="1" vyd:clipText="0" mc:Ignorable="vyd"/>
    </s:xf>
    <s:xf numFmtId="0" fontId="0" fillId="0" borderId="0" xfId="0" applyAlignment="1">
      <s:alignment wrapText="1" vyd:clipText="0" mc:Ignorable="vyd"/>
    </s:xf>
    <s:xf numFmtId="168" fillId="2" applyNumberFormat="1" applyFill="1" applyAlignment="1">
      <s:alignment vertical="top" wrapText="1" vyd:clipText="0" mc:Ignorable="vyd"/>
    </s:xf>
    <s:xf numFmtId="168" fontId="1" fillId="0" applyNumberFormat="1" applyFont="1" applyFill="1" applyAlignment="1">
      <s:alignment horizontal="left" vertical="top" wrapText="1" vyd:clipText="0" mc:Ignorable="vyd"/>
    </s:xf>
    <s:xf fillId="0" applyFill="1" applyAlignment="1">
      <s:alignment vertical="top" wrapText="1" vyd:clipText="0" mc:Ignorable="vyd"/>
    </s:xf>
    <s:xf numFmtId="165" fontId="1" fillId="0" applyNumberFormat="1" applyFont="1" applyFill="1" applyAlignment="1">
      <s:alignment horizontal="left" vertical="top" wrapText="1" vyd:clipText="0" mc:Ignorable="vyd"/>
    </s:xf>
    <s:xf numFmtId="168" fontId="1" applyNumberFormat="1" applyFont="1" applyAlignment="1">
      <s:alignment horizontal="left" vertical="top" wrapText="1" vyd:clipText="0" mc:Ignorable="vyd"/>
    </s:xf>
    <s:xf borderId="1" applyBorder="1" applyAlignment="1">
      <s:alignment horizontal="left" wrapText="0" vyd:clipText="1" mc:Ignorable="vyd"/>
    </s:xf>
    <s:xf borderId="1" applyBorder="1" applyAlignment="1">
      <s:alignment horizontal="left" vertical="top" wrapText="0" vyd:clipText="0" mc:Ignorable="vyd"/>
    </s:xf>
    <s:xf fontId="1" borderId="1" applyFont="1" applyBorder="1" applyAlignment="1">
      <s:alignment horizontal="left" vertical="top" wrapText="0" vyd:clipText="0" mc:Ignorable="vyd"/>
    </s:xf>
    <s:xf numFmtId="169" borderId="1" applyNumberFormat="1" applyBorder="1" applyAlignment="1">
      <s:alignment horizontal="left" vertical="top" wrapText="0" vyd:clipText="0" mc:Ignorable="vyd"/>
    </s:xf>
    <s:xf numFmtId="169" fontId="1" borderId="1" applyNumberFormat="1" applyFont="1" applyBorder="1" applyAlignment="1">
      <s:alignment horizontal="left" vertical="top" wrapText="0" vyd:clipText="0" mc:Ignorable="vyd"/>
    </s:xf>
    <s:xf numFmtId="164" fillId="3" borderId="2" applyNumberFormat="1" applyFill="1" applyBorder="1" applyAlignment="1">
      <s:alignment horizontal="left" vertical="top" wrapText="0" vyd:clipText="0" mc:Ignorable="vyd"/>
    </s:xf>
    <s:xf fillId="3" borderId="2" applyFill="1" applyBorder="1" applyAlignment="1">
      <s:alignment horizontal="left" vertical="top" wrapText="0" vyd:clipText="0" mc:Ignorable="vyd"/>
    </s:xf>
    <s:xf numFmtId="169" fillId="3" borderId="2" applyNumberFormat="1" applyFill="1" applyBorder="1" applyAlignment="1">
      <s:alignment horizontal="left" vertical="top" wrapText="0" vyd:clipText="0" mc:Ignorable="vyd"/>
    </s:xf>
    <s:xf numFmtId="164" borderId="2" applyNumberFormat="1" applyBorder="1" applyAlignment="1">
      <s:alignment horizontal="left" vertical="top" wrapText="0" vyd:clipText="0" mc:Ignorable="vyd"/>
    </s:xf>
    <s:xf borderId="2" applyBorder="1" applyAlignment="1">
      <s:alignment horizontal="left" vertical="top" wrapText="0" vyd:clipText="0" mc:Ignorable="vyd"/>
    </s:xf>
    <s:xf numFmtId="169" borderId="2" applyNumberFormat="1" applyBorder="1" applyAlignment="1">
      <s:alignment horizontal="left" vertical="top" wrapText="0" vyd:clipText="0" mc:Ignorable="vyd"/>
    </s:xf>
    <s:xf fontId="1" fillId="3" borderId="2" applyFont="1" applyFill="1" applyBorder="1" applyAlignment="1">
      <s:alignment horizontal="left" vertical="top" wrapText="0" vyd:clipText="0" mc:Ignorable="vyd"/>
    </s:xf>
    <s:xf numFmtId="169" fontId="1" fillId="3" borderId="2" applyNumberFormat="1" applyFont="1" applyFill="1" applyBorder="1" applyAlignment="1">
      <s:alignment horizontal="left" vertical="top" wrapText="0" vyd:clipText="0" mc:Ignorable="vyd"/>
    </s:xf>
    <s:xf fontId="1" borderId="2" applyFont="1" applyBorder="1" applyAlignment="1">
      <s:alignment horizontal="left" vertical="top" wrapText="0" vyd:clipText="0" mc:Ignorable="vyd"/>
    </s:xf>
    <s:xf numFmtId="169" fontId="1" borderId="2" applyNumberFormat="1" applyFont="1" applyBorder="1" applyAlignment="1">
      <s:alignment horizontal="left" vertical="top" wrapText="0" vyd:clipText="0" mc:Ignorable="vyd"/>
    </s:xf>
    <s:xf borderId="3" applyBorder="1" applyAlignment="1">
      <s:alignment horizontal="left" wrapText="0" vyd:clipText="1" mc:Ignorable="vyd"/>
    </s:xf>
    <s:xf borderId="3" applyBorder="1" applyAlignment="1">
      <s:alignment horizontal="left" vertical="top" wrapText="0" vyd:clipText="0" mc:Ignorable="vyd"/>
    </s:xf>
    <s:xf fontId="1" borderId="3" applyFont="1" applyBorder="1" applyAlignment="1">
      <s:alignment horizontal="left" vertical="top" wrapText="0" vyd:clipText="0" mc:Ignorable="vyd"/>
    </s:xf>
    <s:xf numFmtId="169" borderId="3" applyNumberFormat="1" applyBorder="1" applyAlignment="1">
      <s:alignment horizontal="left" vertical="top" wrapText="0" vyd:clipText="0" mc:Ignorable="vyd"/>
    </s:xf>
    <s:xf numFmtId="169" fontId="1" borderId="3" applyNumberFormat="1" applyFont="1" applyBorder="1" applyAlignment="1">
      <s:alignment horizontal="left" vertical="top" wrapText="0" vyd:clipText="0" mc:Ignorable="vyd"/>
    </s:xf>
    <s:xf numFmtId="164" fillId="3" borderId="3" applyNumberFormat="1" applyFill="1" applyBorder="1" applyAlignment="1">
      <s:alignment horizontal="left" vertical="top" wrapText="0" vyd:clipText="0" mc:Ignorable="vyd"/>
    </s:xf>
    <s:xf fillId="3" borderId="3" applyFill="1" applyBorder="1" applyAlignment="1">
      <s:alignment horizontal="left" vertical="top" wrapText="0" vyd:clipText="0" mc:Ignorable="vyd"/>
    </s:xf>
    <s:xf numFmtId="169" fillId="3" borderId="3" applyNumberFormat="1" applyFill="1" applyBorder="1" applyAlignment="1">
      <s:alignment horizontal="left" vertical="top" wrapText="0" vyd:clipText="0" mc:Ignorable="vyd"/>
    </s:xf>
    <s:xf numFmtId="164" borderId="3" applyNumberFormat="1" applyBorder="1" applyAlignment="1">
      <s:alignment horizontal="left" vertical="top" wrapText="0" vyd:clipText="0" mc:Ignorable="vyd"/>
    </s:xf>
    <s:xf fontId="1" fillId="3" borderId="3" applyFont="1" applyFill="1" applyBorder="1" applyAlignment="1">
      <s:alignment horizontal="left" vertical="top" wrapText="0" vyd:clipText="0" mc:Ignorable="vyd"/>
    </s:xf>
    <s:xf numFmtId="169" fontId="1" fillId="3" borderId="3" applyNumberFormat="1" applyFont="1" applyFill="1" applyBorder="1" applyAlignment="1">
      <s:alignment horizontal="left" vertical="top" wrapText="0" vyd:clipText="0" mc:Ignorable="vyd"/>
    </s:xf>
    <s:xf numFmtId="166" borderId="3" applyNumberFormat="1" applyBorder="1" applyAlignment="1">
      <s:alignment horizontal="left" wrapText="0" vyd:clipText="1" mc:Ignorable="vyd"/>
    </s:xf>
    <s:xf numFmtId="166" borderId="3" applyNumberFormat="1" applyBorder="1" applyAlignment="1">
      <s:alignment horizontal="left" vertical="top" wrapText="0" vyd:clipText="0" mc:Ignorable="vyd"/>
    </s:xf>
    <s:xf numFmtId="166" fontId="1" borderId="3" applyNumberFormat="1" applyFont="1" applyBorder="1" applyAlignment="1">
      <s:alignment horizontal="left" vertical="top" wrapText="0" vyd:clipText="0" mc:Ignorable="vyd"/>
    </s:xf>
    <s:xf numFmtId="166" fillId="3" borderId="3" applyNumberFormat="1" applyFill="1" applyBorder="1" applyAlignment="1">
      <s:alignment horizontal="left" vertical="top" wrapText="0" vyd:clipText="0" mc:Ignorable="vyd"/>
    </s:xf>
    <s:xf numFmtId="166" fontId="1" fillId="3" borderId="3" applyNumberFormat="1" applyFont="1" applyFill="1" applyBorder="1" applyAlignment="1">
      <s:alignment horizontal="left" vertical="top" wrapText="0" vyd:clipText="0" mc:Ignorable="vyd"/>
    </s:xf>
    <s:xf numFmtId="167" borderId="3" applyNumberFormat="1" applyBorder="1" applyAlignment="1">
      <s:alignment horizontal="left" wrapText="0" vyd:clipText="1" mc:Ignorable="vyd"/>
    </s:xf>
    <s:xf numFmtId="167" borderId="3" applyNumberFormat="1" applyBorder="1" applyAlignment="1">
      <s:alignment horizontal="left" vertical="top" wrapText="0" vyd:clipText="0" mc:Ignorable="vyd"/>
    </s:xf>
    <s:xf numFmtId="167" fillId="3" borderId="3" applyNumberFormat="1" applyFill="1" applyBorder="1" applyAlignment="1">
      <s:alignment horizontal="left" vertical="top" wrapText="0" vyd:clipText="0" mc:Ignorable="vyd"/>
    </s:xf>
    <s:xf numFmtId="167" fontId="1" borderId="3" applyNumberFormat="1" applyFont="1" applyBorder="1" applyAlignment="1">
      <s:alignment horizontal="left" vertical="top" wrapText="0" vyd:clipText="0" mc:Ignorable="vyd"/>
    </s:xf>
    <s:xf numFmtId="167" fontId="1" fillId="3" borderId="3" applyNumberFormat="1" applyFont="1" applyFill="1" applyBorder="1" applyAlignment="1">
      <s:alignment horizontal="left" vertical="top" wrapText="0" vyd:clipText="0" mc:Ignorable="vyd"/>
    </s:xf>
    <s:xf numFmtId="168" borderId="3" applyNumberFormat="1" applyBorder="1" applyAlignment="1">
      <s:alignment horizontal="left" wrapText="0" vyd:clipText="1" mc:Ignorable="vyd"/>
    </s:xf>
    <s:xf numFmtId="168" borderId="3" applyNumberFormat="1" applyBorder="1" applyAlignment="1">
      <s:alignment horizontal="left" vertical="top" wrapText="0" vyd:clipText="0" mc:Ignorable="vyd"/>
    </s:xf>
    <s:xf numFmtId="168" fillId="3" borderId="3" applyNumberFormat="1" applyFill="1" applyBorder="1" applyAlignment="1">
      <s:alignment horizontal="left" vertical="top" wrapText="0" vyd:clipText="0" mc:Ignorable="vyd"/>
    </s:xf>
    <s:xf numFmtId="168" fontId="1" borderId="3" applyNumberFormat="1" applyFont="1" applyBorder="1" applyAlignment="1">
      <s:alignment horizontal="left" vertical="top" wrapText="0" vyd:clipText="0" mc:Ignorable="vyd"/>
    </s:xf>
    <s:xf numFmtId="168" fontId="1" fillId="3" borderId="3" applyNumberFormat="1" applyFont="1" applyFill="1" applyBorder="1" applyAlignment="1">
      <s:alignment horizontal="left" vertical="top" wrapText="0" vyd:clipText="0" mc:Ignorable="vyd"/>
    </s:xf>
    <s:xf numFmtId="166" applyNumberFormat="1" applyAlignment="1">
      <s:alignment horizontal="right" mc:Ignorable="vyd"/>
    </s:xf>
    <s:xf numFmtId="168" borderId="3" applyNumberFormat="1" applyBorder="1" applyAlignment="1">
      <s:alignment horizontal="right" wrapText="0" vyd:clipText="1" mc:Ignorable="vyd"/>
    </s:xf>
    <s:xf numFmtId="168" borderId="3" applyNumberFormat="1" applyBorder="1" applyAlignment="1">
      <s:alignment horizontal="right" vertical="top" wrapText="0" vyd:clipText="0" mc:Ignorable="vyd"/>
    </s:xf>
    <s:xf numFmtId="168" fontId="1" borderId="3" applyNumberFormat="1" applyFont="1" applyBorder="1" applyAlignment="1">
      <s:alignment horizontal="right" vertical="top" wrapText="0" vyd:clipText="0" mc:Ignorable="vyd"/>
    </s:xf>
    <s:xf numFmtId="168" fillId="3" borderId="3" applyNumberFormat="1" applyFill="1" applyBorder="1" applyAlignment="1">
      <s:alignment horizontal="right" vertical="top" wrapText="0" vyd:clipText="0" mc:Ignorable="vyd"/>
    </s:xf>
    <s:xf numFmtId="168" fontId="1" fillId="3" borderId="3" applyNumberFormat="1" applyFont="1" applyFill="1" applyBorder="1" applyAlignment="1">
      <s:alignment horizontal="right" vertical="top" wrapText="0" vyd:clipText="0" mc:Ignorable="vyd"/>
    </s:xf>
    <s:xf fillId="4" applyFill="1"/>
    <s:xf fillId="4" borderId="3" applyFill="1" applyBorder="1" applyAlignment="1">
      <s:alignment horizontal="left" wrapText="0" vyd:clipText="1" mc:Ignorable="vyd"/>
    </s:xf>
    <s:xf numFmtId="168" fillId="4" borderId="3" applyNumberFormat="1" applyFill="1" applyBorder="1" applyAlignment="1">
      <s:alignment horizontal="right" wrapText="0" vyd:clipText="1" mc:Ignorable="vyd"/>
    </s:xf>
    <s:xf fillId="2" borderId="3" applyFill="1" applyBorder="1" applyAlignment="1">
      <s:alignment horizontal="left" vertical="top" wrapText="0" vyd:clipText="0" mc:Ignorable="vyd"/>
    </s:xf>
    <s:xf fontId="1" fillId="2" borderId="3" applyFont="1" applyFill="1" applyBorder="1" applyAlignment="1">
      <s:alignment horizontal="left" vertical="top" wrapText="0" vyd:clipText="0" mc:Ignorable="vyd"/>
    </s:xf>
    <s:xf numFmtId="168" fillId="2" borderId="3" applyNumberFormat="1" applyFill="1" applyBorder="1" applyAlignment="1">
      <s:alignment horizontal="right" vertical="top" wrapText="0" vyd:clipText="0" mc:Ignorable="vyd"/>
    </s:xf>
    <s:xf numFmtId="168" fontId="1" fillId="2" borderId="3" applyNumberFormat="1" applyFont="1" applyFill="1" applyBorder="1" applyAlignment="1">
      <s:alignment horizontal="right" vertical="top" wrapText="0" vyd:clipText="0" mc:Ignorable="vyd"/>
    </s:xf>
    <s:xf fillId="5" applyFill="1"/>
    <s:xf fillId="5" borderId="3" applyFill="1" applyBorder="1" applyAlignment="1">
      <s:alignment horizontal="left" vertical="top" wrapText="0" vyd:clipText="0" mc:Ignorable="vyd"/>
    </s:xf>
    <s:xf fontId="1" fillId="5" borderId="3" applyFont="1" applyFill="1" applyBorder="1" applyAlignment="1">
      <s:alignment horizontal="left" vertical="top" wrapText="0" vyd:clipText="0" mc:Ignorable="vyd"/>
    </s:xf>
    <s:xf numFmtId="168" fontId="1" fillId="5" borderId="3" applyNumberFormat="1" applyFont="1" applyFill="1" applyBorder="1" applyAlignment="1">
      <s:alignment horizontal="right" vertical="top" wrapText="0" vyd:clipText="0" mc:Ignorable="vyd"/>
    </s:xf>
    <s:xf fillId="5" borderId="3" applyFill="1" applyBorder="1" applyAlignment="1">
      <s:alignment horizontal="left" wrapText="0" vyd:clipText="1" mc:Ignorable="vyd"/>
    </s:xf>
    <s:xf numFmtId="168" fillId="5" borderId="3" applyNumberFormat="1" applyFill="1" applyBorder="1" applyAlignment="1">
      <s:alignment horizontal="right" wrapText="0" vyd:clipText="1" mc:Ignorable="vyd"/>
    </s:xf>
    <s:xf fontId="1" fillId="5" applyFont="1" applyFill="1"/>
    <s:xf fontId="1" fillId="5" borderId="3" applyFont="1" applyFill="1" applyBorder="1" applyAlignment="1">
      <s:alignment horizontal="left" wrapText="0" vyd:clipText="1" mc:Ignorable="vyd"/>
    </s:xf>
    <s:xf numFmtId="168" fontId="1" fillId="5" borderId="3" applyNumberFormat="1" applyFont="1" applyFill="1" applyBorder="1" applyAlignment="1">
      <s:alignment horizontal="right" wrapText="0" vyd:clipText="1" mc:Ignorable="vyd"/>
    </s:xf>
    <s:xf fillId="0" borderId="3" applyFill="1" applyBorder="1" applyAlignment="1">
      <s:alignment horizontal="left" wrapText="0" vyd:clipText="1" mc:Ignorable="vyd"/>
    </s:xf>
    <s:xf numFmtId="168" fillId="0" borderId="3" applyNumberFormat="1" applyFill="1" applyBorder="1" applyAlignment="1">
      <s:alignment horizontal="right" wrapText="0" vyd:clipText="1" mc:Ignorable="vyd"/>
    </s:xf>
    <s:xf fontId="1" fillId="5" borderId="3" applyFont="1" applyFill="1" applyBorder="1" applyAlignment="1">
      <s:alignment horizontal="left" wrapText="1" vyd:clipText="0" mc:Ignorable="vyd"/>
    </s:xf>
    <s:xf fillId="0" borderId="3" applyFill="1" applyBorder="1" applyAlignment="1">
      <s:alignment horizontal="left" wrapText="1" vyd:clipText="0" mc:Ignorable="vyd"/>
    </s:xf>
    <s:xf fillId="4" borderId="3" applyFill="1" applyBorder="1" applyAlignment="1">
      <s:alignment horizontal="left" wrapText="1" vyd:clipText="0" mc:Ignorable="vyd"/>
    </s:xf>
    <s:xf fillId="2" borderId="3" applyFill="1" applyBorder="1" applyAlignment="1">
      <s:alignment horizontal="left" vertical="top" wrapText="1" vyd:clipText="0" mc:Ignorable="vyd"/>
    </s:xf>
    <s:xf fillId="3" borderId="3" applyFill="1" applyBorder="1" applyAlignment="1">
      <s:alignment horizontal="left" vertical="top" wrapText="1" vyd:clipText="0" mc:Ignorable="vyd"/>
    </s:xf>
    <s:xf borderId="3" applyBorder="1" applyAlignment="1">
      <s:alignment horizontal="left" vertical="top" wrapText="1" vyd:clipText="0" mc:Ignorable="vyd"/>
    </s:xf>
    <s:xf fillId="5" borderId="3" applyFill="1" applyBorder="1" applyAlignment="1">
      <s:alignment horizontal="left" vertical="top" wrapText="1" vyd:clipText="0" mc:Ignorable="vyd"/>
    </s:xf>
    <s:xf fontId="1" fillId="2" borderId="3" applyFont="1" applyFill="1" applyBorder="1" applyAlignment="1">
      <s:alignment horizontal="left" vertical="top" wrapText="1" vyd:clipText="0" mc:Ignorable="vyd"/>
    </s:xf>
    <s:xf fillId="0" borderId="3" applyFill="1" applyBorder="1" applyAlignment="1">
      <s:alignment horizontal="left" vertical="top" wrapText="0" vyd:clipText="0" mc:Ignorable="vyd"/>
    </s:xf>
    <s:xf fontId="1" fillId="0" borderId="3" applyFont="1" applyFill="1" applyBorder="1" applyAlignment="1">
      <s:alignment horizontal="left" vertical="top" wrapText="0" vyd:clipText="0" mc:Ignorable="vyd"/>
    </s:xf>
    <s:xf numFmtId="168" fillId="0" borderId="3" applyNumberFormat="1" applyFill="1" applyBorder="1" applyAlignment="1">
      <s:alignment horizontal="right" vertical="top" wrapText="0" vyd:clipText="0" mc:Ignorable="vyd"/>
    </s:xf>
    <s:xf numFmtId="168" fontId="1" fillId="0" borderId="3" applyNumberFormat="1" applyFont="1" applyFill="1" applyBorder="1" applyAlignment="1">
      <s:alignment horizontal="right" vertical="top" wrapText="0" vyd:clipText="0" mc:Ignorable="vyd"/>
    </s:xf>
    <s:xf fillId="0" borderId="3" applyFill="1" applyBorder="1" applyAlignment="1">
      <s:alignment horizontal="left" vertical="top" wrapText="1" vyd:clipText="0" mc:Ignorable="vyd"/>
    </s:xf>
    <s:xf numFmtId="164" fillId="0" borderId="3" applyNumberFormat="1" applyFill="1" applyBorder="1" applyAlignment="1">
      <s:alignment horizontal="left" vertical="top" wrapText="0" vyd:clipText="0" mc:Ignorable="vyd"/>
    </s:xf>
    <s:xf numFmtId="168" fontId="2" fillId="0" borderId="3" applyNumberFormat="1" applyFont="1" applyFill="1" applyBorder="1" applyAlignment="1">
      <s:alignment horizontal="right" vertical="top" wrapText="0" vyd:clipText="0" mc:Ignorable="vyd"/>
    </s:xf>
    <s:xf numFmtId="168" fontId="2" fillId="0" borderId="3" applyNumberFormat="1" applyFont="1" applyFill="1" applyBorder="1" applyAlignment="1">
      <s:alignment horizontal="right" vertical="top" wrapText="0" vyd:clipText="0" mc:Ignorable="vyd"/>
    </s:xf>
    <s:xf numFmtId="164" fillId="2" applyNumberFormat="1" applyFill="1" applyAlignment="1">
      <s:alignment horizontal="left" vertical="top" wrapText="1" vyd:clipText="0" mc:Ignorable="vyd"/>
    </s:xf>
    <s:xf fontId="1" fillId="2" applyFont="1" applyFill="1" applyAlignment="1">
      <s:alignment horizontal="left" vertical="top" wrapText="1" vyd:clipText="0" mc:Ignorable="vyd"/>
    </s:xf>
    <s:xf fillId="2" applyFill="1" applyAlignment="1">
      <s:alignment horizontal="left" vertical="top" wrapText="1" vyd:clipText="0" mc:Ignorable="vyd"/>
    </s:xf>
    <s:xf numFmtId="168" fillId="2" applyNumberFormat="1" applyFill="1" applyAlignment="1">
      <s:alignment horizontal="left" vertical="top" wrapText="1" vyd:clipText="0" mc:Ignorable="vyd"/>
    </s:xf>
    <s:xf numFmtId="164" fontId="1" applyNumberFormat="1" applyFont="1" applyAlignment="1">
      <s:alignment horizontal="left" mc:Ignorable="vyd"/>
    </s:xf>
    <s:xf applyAlignment="1">
      <s:alignment vertical="center" wrapText="1" vyd:clipText="0" mc:Ignorable="vyd"/>
    </s:xf>
    <s:xf numFmtId="166" applyNumberFormat="1" applyAlignment="1">
      <s:alignment vertical="center" wrapText="1" vyd:clipText="0" mc:Ignorable="vyd"/>
    </s:xf>
    <s:xf applyAlignment="1">
      <s:alignment horizontal="left" vertical="center" wrapText="1" vyd:clipText="0" mc:Ignorable="vyd"/>
    </s:xf>
    <s:xf numFmtId="168" applyNumberFormat="1" applyAlignment="1">
      <s:alignment horizontal="left" vertical="center" wrapText="1" vyd:clipText="0" mc:Ignorable="vyd"/>
    </s:xf>
    <s:xf numFmtId="0" fontId="0" fillId="0" borderId="0" xfId="0" applyAlignment="1">
      <s:alignment vertical="center" wrapText="1" vyd:clipText="0" mc:Ignorable="vyd"/>
    </s:xf>
    <s:xf fontId="1" fillId="2" applyFont="1" applyFill="1" applyAlignment="1">
      <s:alignment vertical="center" wrapText="1" vyd:clipText="0" mc:Ignorable="vyd"/>
    </s:xf>
    <s:xf fillId="2" applyFill="1" applyAlignment="1">
      <s:alignment vertical="center" wrapText="1" vyd:clipText="0" mc:Ignorable="vyd"/>
    </s:xf>
    <s:xf numFmtId="168" fillId="2" applyNumberFormat="1" applyFill="1" applyAlignment="1">
      <s:alignment vertical="center" wrapText="1" vyd:clipText="0" mc:Ignorable="vyd"/>
    </s:xf>
    <s:xf numFmtId="164" applyNumberFormat="1" applyAlignment="1">
      <s:alignment horizontal="left" vertical="center" wrapText="1" vyd:clipText="0" mc:Ignorable="vyd"/>
    </s:xf>
    <s:xf fontId="1" applyFont="1" applyAlignment="1">
      <s:alignment horizontal="left" vertical="center" wrapText="1" vyd:clipText="0" mc:Ignorable="vyd"/>
    </s:xf>
    <s:xf numFmtId="164" fillId="2" applyNumberFormat="1" applyFill="1" applyAlignment="1">
      <s:alignment horizontal="left" vertical="center" wrapText="1" vyd:clipText="0" mc:Ignorable="vyd"/>
    </s:xf>
    <s:xf fontId="1" fillId="2" applyFont="1" applyFill="1" applyAlignment="1">
      <s:alignment horizontal="left" vertical="center" wrapText="1" vyd:clipText="0" mc:Ignorable="vyd"/>
    </s:xf>
    <s:xf fillId="2" applyFill="1" applyAlignment="1">
      <s:alignment horizontal="left" vertical="center" wrapText="1" vyd:clipText="0" mc:Ignorable="vyd"/>
    </s:xf>
    <s:xf numFmtId="168" fillId="2" applyNumberFormat="1" applyFill="1" applyAlignment="1">
      <s:alignment horizontal="left" vertical="center" wrapText="1" vyd:clipText="0" mc:Ignorable="vyd"/>
    </s:xf>
    <s:xf numFmtId="164" applyNumberFormat="1" applyAlignment="1">
      <s:alignment horizontal="left" vertical="center" mc:Ignorable="vyd"/>
    </s:xf>
    <s:xf fontId="1" applyFont="1" applyAlignment="1">
      <s:alignment horizontal="left" vertical="center" mc:Ignorable="vyd"/>
    </s:xf>
    <s:xf applyAlignment="1">
      <s:alignment horizontal="left" vertical="center" mc:Ignorable="vyd"/>
    </s:xf>
    <s:xf numFmtId="165" applyNumberFormat="1" applyAlignment="1">
      <s:alignment horizontal="left" vertical="center" mc:Ignorable="vyd"/>
    </s:xf>
    <s:xf numFmtId="164" fontId="1" applyNumberFormat="1" applyFont="1" applyAlignment="1">
      <s:alignment horizontal="left" vertical="center" mc:Ignorable="vyd"/>
    </s:xf>
    <s:xf numFmtId="165" fontId="1" applyNumberFormat="1" applyFont="1" applyAlignment="1">
      <s:alignment horizontal="left" vertical="center" mc:Ignorable="vyd"/>
    </s:xf>
    <s:xf fontId="1" fillId="0" applyFont="1" applyFill="1" applyAlignment="1">
      <s:alignment horizontal="left" vertical="center" wrapText="1" vyd:clipText="0" mc:Ignorable="vyd"/>
    </s:xf>
    <s:xf numFmtId="165" fillId="0" applyNumberFormat="1" applyFill="1" applyAlignment="1">
      <s:alignment horizontal="left" vertical="center" wrapText="1" vyd:clipText="0" mc:Ignorable="vyd"/>
    </s:xf>
    <s:xf numFmtId="168" fontId="1" fillId="0" applyNumberFormat="1" applyFont="1" applyFill="1" applyAlignment="1">
      <s:alignment horizontal="left" vertical="center" wrapText="1" vyd:clipText="0" mc:Ignorable="vyd"/>
    </s:xf>
    <s:xf fillId="0" applyFill="1" applyAlignment="1">
      <s:alignment vertical="center" wrapText="1" vyd:clipText="0" mc:Ignorable="vyd"/>
    </s:xf>
    <s:xf numFmtId="165" fontId="1" fillId="0" applyNumberFormat="1" applyFont="1" applyFill="1" applyAlignment="1">
      <s:alignment horizontal="left" vertical="center" wrapText="1" vyd:clipText="0" mc:Ignorable="vyd"/>
    </s:xf>
    <s:xf numFmtId="168" fontId="1" applyNumberFormat="1" applyFont="1" applyAlignment="1">
      <s:alignment horizontal="left" vertical="center" wrapText="1" vyd:clipText="0" mc:Ignorable="vyd"/>
    </s:xf>
    <s:xf numFmtId="165" applyNumberFormat="1" applyAlignment="1">
      <s:alignment horizontal="left" vertical="center" wrapText="1" vyd:clipText="0" mc:Ignorable="vyd"/>
    </s:xf>
    <s:xf numFmtId="165" fontId="1" applyNumberFormat="1" applyFont="1" applyAlignment="1">
      <s:alignment horizontal="left" vertical="center" wrapText="1" vyd:clipText="0" mc:Ignorable="vyd"/>
    </s:xf>
    <s:xf numFmtId="0" fontId="0" fillId="0" borderId="0" xfId="0" applyAlignment="1">
      <s:alignment vertical="top" wrapText="1" vyd:clipText="0" mc:Ignorable="vyd"/>
    </s:xf>
    <s:xf numFmtId="164" applyNumberFormat="1" applyAlignment="1">
      <s:alignment horizontal="left" vertical="top" mc:Ignorable="vyd"/>
    </s:xf>
    <s:xf fontId="1" applyFont="1" applyAlignment="1">
      <s:alignment horizontal="left" vertical="top" mc:Ignorable="vyd"/>
    </s:xf>
    <s:xf numFmtId="164" fontId="1" applyNumberFormat="1" applyFont="1" applyAlignment="1">
      <s:alignment horizontal="left" vertical="top" mc:Ignorable="vyd"/>
    </s:xf>
    <s:xf numFmtId="165" fontId="1" applyNumberFormat="1" applyFont="1" applyAlignment="1">
      <s:alignment horizontal="left" vertical="top" mc:Ignorable="vyd"/>
    </s:xf>
    <s:xf numFmtId="164" fontId="1" borderId="1" applyNumberFormat="1" applyFont="1" applyBorder="1" applyAlignment="1">
      <s:alignment horizontal="left" vertical="top" wrapText="0" vyd:clipText="0" mc:Ignorable="vyd"/>
    </s:xf>
    <s:xf numFmtId="164" fontId="1" fillId="3" borderId="2" applyNumberFormat="1" applyFont="1" applyFill="1" applyBorder="1" applyAlignment="1">
      <s:alignment horizontal="left" vertical="top" wrapText="0" vyd:clipText="0" mc:Ignorable="vyd"/>
    </s:xf>
    <s:xf numFmtId="164" fontId="1" borderId="2" applyNumberFormat="1" applyFont="1" applyBorder="1" applyAlignment="1">
      <s:alignment horizontal="left" vertical="top" wrapText="0" vyd:clipText="0" mc:Ignorable="vyd"/>
    </s:xf>
    <s:xf numFmtId="164" fontId="1" borderId="3" applyNumberFormat="1" applyFont="1" applyBorder="1" applyAlignment="1">
      <s:alignment horizontal="left" vertical="top" wrapText="0" vyd:clipText="0" mc:Ignorable="vyd"/>
    </s:xf>
    <s:xf numFmtId="164" fontId="1" fillId="3" borderId="3" applyNumberFormat="1" applyFont="1" applyFill="1" applyBorder="1" applyAlignment="1">
      <s:alignment horizontal="left" vertical="top" wrapText="0" vyd:clipText="0" mc:Ignorable="vyd"/>
    </s:xf>
    <s:xf fontId="2" applyFont="1"/>
    <s:xf numFmtId="164" fontId="2" borderId="3" applyNumberFormat="1" applyFont="1" applyBorder="1" applyAlignment="1">
      <s:alignment horizontal="left" vertical="top" wrapText="0" vyd:clipText="0" mc:Ignorable="vyd"/>
    </s:xf>
    <s:xf fontId="2" borderId="3" applyFont="1" applyBorder="1" applyAlignment="1">
      <s:alignment horizontal="left" vertical="top" wrapText="0" vyd:clipText="0" mc:Ignorable="vyd"/>
    </s:xf>
    <s:xf numFmtId="169" fontId="2" borderId="3" applyNumberFormat="1" applyFont="1" applyBorder="1" applyAlignment="1">
      <s:alignment horizontal="left" vertical="top" wrapText="0" vyd:clipText="0" mc:Ignorable="vyd"/>
    </s:xf>
    <s:xf numFmtId="164" fontId="2" fillId="3" borderId="3" applyNumberFormat="1" applyFont="1" applyFill="1" applyBorder="1" applyAlignment="1">
      <s:alignment horizontal="left" vertical="top" wrapText="0" vyd:clipText="0" mc:Ignorable="vyd"/>
    </s:xf>
    <s:xf fontId="2" fillId="3" borderId="3" applyFont="1" applyFill="1" applyBorder="1" applyAlignment="1">
      <s:alignment horizontal="left" vertical="top" wrapText="0" vyd:clipText="0" mc:Ignorable="vyd"/>
    </s:xf>
    <s:xf numFmtId="169" fontId="2" fillId="3" borderId="3" applyNumberFormat="1" applyFont="1" applyFill="1" applyBorder="1" applyAlignment="1">
      <s:alignment horizontal="left" vertical="top" wrapText="0" vyd:clipText="0" mc:Ignorable="vyd"/>
    </s:xf>
    <s:xf numFmtId="166" fontId="2" borderId="3" applyNumberFormat="1" applyFont="1" applyBorder="1" applyAlignment="1">
      <s:alignment horizontal="left" vertical="top" wrapText="0" vyd:clipText="0" mc:Ignorable="vyd"/>
    </s:xf>
    <s:xf numFmtId="166" fontId="2" fillId="3" borderId="3" applyNumberFormat="1" applyFont="1" applyFill="1" applyBorder="1" applyAlignment="1">
      <s:alignment horizontal="left" vertical="top" wrapText="0" vyd:clipText="0" mc:Ignorable="vyd"/>
    </s:xf>
    <s:xf numFmtId="167" fontId="2" borderId="3" applyNumberFormat="1" applyFont="1" applyBorder="1" applyAlignment="1">
      <s:alignment horizontal="left" vertical="top" wrapText="0" vyd:clipText="0" mc:Ignorable="vyd"/>
    </s:xf>
    <s:xf numFmtId="167" fontId="2" fillId="3" borderId="3" applyNumberFormat="1" applyFont="1" applyFill="1" applyBorder="1" applyAlignment="1">
      <s:alignment horizontal="left" vertical="top" wrapText="0" vyd:clipText="0" mc:Ignorable="vyd"/>
    </s:xf>
    <s:xf numFmtId="168" fontId="2" borderId="3" applyNumberFormat="1" applyFont="1" applyBorder="1" applyAlignment="1">
      <s:alignment horizontal="left" vertical="top" wrapText="0" vyd:clipText="0" mc:Ignorable="vyd"/>
    </s:xf>
    <s:xf numFmtId="168" fontId="2" fillId="3" borderId="3" applyNumberFormat="1" applyFont="1" applyFill="1" applyBorder="1" applyAlignment="1">
      <s:alignment horizontal="left" vertical="top" wrapText="0" vyd:clipText="0" mc:Ignorable="vyd"/>
    </s:xf>
    <s:xf fontId="1" fillId="0" borderId="3" applyFont="1" applyFill="1" applyBorder="1" applyAlignment="1">
      <s:alignment horizontal="left" vertical="top" wrapText="1" vyd:clipText="0" mc:Ignorable="vyd"/>
    </s:xf>
    <s:xf fontId="2" borderId="3" applyFont="1" applyBorder="1" applyAlignment="1">
      <s:alignment horizontal="left" vertical="top" wrapText="1" vyd:clipText="0" mc:Ignorable="vyd"/>
    </s:xf>
    <s:xf fontId="2" fillId="3" borderId="3" applyFont="1" applyFill="1" applyBorder="1" applyAlignment="1">
      <s:alignment horizontal="left" vertical="top" wrapText="1" vyd:clipText="0" mc:Ignorable="vyd"/>
    </s:xf>
    <s:xf fontId="1" fillId="5" borderId="3" applyFont="1" applyFill="1" applyBorder="1" applyAlignment="1">
      <s:alignment horizontal="left" vertical="top" wrapText="1" vyd:clipText="0" mc:Ignorable="vyd"/>
    </s:xf>
    <s:xf numFmtId="0" fontId="0" fillId="2" borderId="0" xfId="0" applyFill="1"/>
    <s:xf numFmtId="168" fontId="0" fillId="2" borderId="0" xfId="0" applyNumberFormat="1" applyFill="1"/>
    <s:xf fontId="1" fillId="0" applyFont="1" applyFill="1"/>
    <s:xf fillId="0" applyFill="1" applyAlignment="1">
      <s:alignment horizontal="left" mc:Ignorable="vyd"/>
    </s:xf>
    <s:xf fontId="4" fillId="3" applyFont="1" applyFill="1" applyAlignment="1">
      <s:alignment horizontal="left" wrapText="0" vyd:clipText="0" mc:Ignorable="vyd"/>
    </s:xf>
    <s:xf numFmtId="165" borderId="1" applyNumberFormat="1" applyBorder="1" applyAlignment="1">
      <s:alignment horizontal="left" vertical="top" wrapText="0" vyd:clipText="0" mc:Ignorable="vyd"/>
    </s:xf>
    <s:xf numFmtId="170" borderId="1" applyNumberFormat="1" applyBorder="1" applyAlignment="1">
      <s:alignment horizontal="left" vertical="top" wrapText="0" vyd:clipText="0" mc:Ignorable="vyd"/>
    </s:xf>
    <s:xf numFmtId="165" fillId="3" borderId="2" applyNumberFormat="1" applyFill="1" applyBorder="1" applyAlignment="1">
      <s:alignment horizontal="left" vertical="top" wrapText="0" vyd:clipText="0" mc:Ignorable="vyd"/>
    </s:xf>
    <s:xf numFmtId="170" fillId="3" borderId="2" applyNumberFormat="1" applyFill="1" applyBorder="1" applyAlignment="1">
      <s:alignment horizontal="left" vertical="top" wrapText="0" vyd:clipText="0" mc:Ignorable="vyd"/>
    </s:xf>
    <s:xf numFmtId="165" borderId="2" applyNumberFormat="1" applyBorder="1" applyAlignment="1">
      <s:alignment horizontal="left" vertical="top" wrapText="0" vyd:clipText="0" mc:Ignorable="vyd"/>
    </s:xf>
    <s:xf numFmtId="170" borderId="2" applyNumberFormat="1" applyBorder="1" applyAlignment="1">
      <s:alignment horizontal="left" vertical="top" wrapText="0" vyd:clipText="0" mc:Ignorable="vyd"/>
    </s:xf>
    <s:xf fontId="5" fillId="3" applyFont="1" applyFill="1" applyAlignment="1">
      <s:alignment horizontal="left" wrapText="0" vyd:clipText="0" mc:Ignorable="vyd"/>
    </s:xf>
    <s:xf fontId="6" fillId="3" applyFont="1" applyFill="1" applyAlignment="1">
      <s:alignment horizontal="left" wrapText="0" vyd:clipText="0" mc:Ignorable="vyd"/>
    </s:xf>
    <s:xf fontId="7" fillId="3" applyFont="1" applyFill="1" applyAlignment="1">
      <s:alignment horizontal="left" wrapText="0" vyd:clipText="0" mc:Ignorable="vyd"/>
    </s:xf>
    <s:xf fontId="8" fillId="3" applyFont="1" applyFill="1" applyAlignment="1">
      <s:alignment horizontal="left" wrapText="0" vyd:clipText="0" mc:Ignorable="vyd"/>
    </s:xf>
    <s:xf fontId="1" borderId="1" applyFont="1" applyBorder="1" applyAlignment="1">
      <s:alignment horizontal="left" wrapText="0" vyd:clipText="1" mc:Ignorable="vyd"/>
    </s:xf>
    <s:xf numFmtId="165" fontId="1" borderId="1" applyNumberFormat="1" applyFont="1" applyBorder="1" applyAlignment="1">
      <s:alignment horizontal="left" vertical="top" wrapText="0" vyd:clipText="0" mc:Ignorable="vyd"/>
    </s:xf>
    <s:xf numFmtId="170" fontId="1" borderId="1" applyNumberFormat="1" applyFont="1" applyBorder="1" applyAlignment="1">
      <s:alignment horizontal="left" vertical="top" wrapText="0" vyd:clipText="0" mc:Ignorable="vyd"/>
    </s:xf>
    <s:xf numFmtId="165" fontId="1" fillId="3" borderId="2" applyNumberFormat="1" applyFont="1" applyFill="1" applyBorder="1" applyAlignment="1">
      <s:alignment horizontal="left" vertical="top" wrapText="0" vyd:clipText="0" mc:Ignorable="vyd"/>
    </s:xf>
    <s:xf numFmtId="170" fontId="1" fillId="3" borderId="2" applyNumberFormat="1" applyFont="1" applyFill="1" applyBorder="1" applyAlignment="1">
      <s:alignment horizontal="left" vertical="top" wrapText="0" vyd:clipText="0" mc:Ignorable="vyd"/>
    </s:xf>
    <s:xf numFmtId="165" fontId="1" borderId="2" applyNumberFormat="1" applyFont="1" applyBorder="1" applyAlignment="1">
      <s:alignment horizontal="left" vertical="top" wrapText="0" vyd:clipText="0" mc:Ignorable="vyd"/>
    </s:xf>
    <s:xf numFmtId="170" fontId="1" borderId="2" applyNumberFormat="1" applyFont="1" applyBorder="1" applyAlignment="1">
      <s:alignment horizontal="left" vertical="top" wrapText="0" vyd:clipText="0" mc:Ignorable="vyd"/>
    </s:xf>
    <s:xf fontId="2" borderId="1" applyFont="1" applyBorder="1" applyAlignment="1">
      <s:alignment horizontal="left" wrapText="0" vyd:clipText="1" mc:Ignorable="vyd"/>
    </s:xf>
    <s:xf fontId="2" fillId="0" applyFont="1" applyFill="1"/>
    <s:xf numFmtId="164" fontId="2" borderId="1" applyNumberFormat="1" applyFont="1" applyBorder="1" applyAlignment="1">
      <s:alignment horizontal="left" vertical="top" wrapText="0" vyd:clipText="0" mc:Ignorable="vyd"/>
    </s:xf>
    <s:xf fontId="2" borderId="1" applyFont="1" applyBorder="1" applyAlignment="1">
      <s:alignment horizontal="left" vertical="top" wrapText="0" vyd:clipText="0" mc:Ignorable="vyd"/>
    </s:xf>
    <s:xf numFmtId="165" fontId="2" borderId="1" applyNumberFormat="1" applyFont="1" applyBorder="1" applyAlignment="1">
      <s:alignment horizontal="left" vertical="top" wrapText="0" vyd:clipText="0" mc:Ignorable="vyd"/>
    </s:xf>
    <s:xf numFmtId="170" fontId="2" borderId="1" applyNumberFormat="1" applyFont="1" applyBorder="1" applyAlignment="1">
      <s:alignment horizontal="left" vertical="top" wrapText="0" vyd:clipText="0" mc:Ignorable="vyd"/>
    </s:xf>
    <s:xf numFmtId="164" fontId="2" fillId="3" borderId="2" applyNumberFormat="1" applyFont="1" applyFill="1" applyBorder="1" applyAlignment="1">
      <s:alignment horizontal="left" vertical="top" wrapText="0" vyd:clipText="0" mc:Ignorable="vyd"/>
    </s:xf>
    <s:xf fontId="2" fillId="3" borderId="2" applyFont="1" applyFill="1" applyBorder="1" applyAlignment="1">
      <s:alignment horizontal="left" vertical="top" wrapText="0" vyd:clipText="0" mc:Ignorable="vyd"/>
    </s:xf>
    <s:xf numFmtId="165" fontId="2" fillId="3" borderId="2" applyNumberFormat="1" applyFont="1" applyFill="1" applyBorder="1" applyAlignment="1">
      <s:alignment horizontal="left" vertical="top" wrapText="0" vyd:clipText="0" mc:Ignorable="vyd"/>
    </s:xf>
    <s:xf numFmtId="170" fontId="2" fillId="3" borderId="2" applyNumberFormat="1" applyFont="1" applyFill="1" applyBorder="1" applyAlignment="1">
      <s:alignment horizontal="left" vertical="top" wrapText="0" vyd:clipText="0" mc:Ignorable="vyd"/>
    </s:xf>
    <s:xf numFmtId="164" fontId="2" borderId="2" applyNumberFormat="1" applyFont="1" applyBorder="1" applyAlignment="1">
      <s:alignment horizontal="left" vertical="top" wrapText="0" vyd:clipText="0" mc:Ignorable="vyd"/>
    </s:xf>
    <s:xf fontId="2" borderId="2" applyFont="1" applyBorder="1" applyAlignment="1">
      <s:alignment horizontal="left" vertical="top" wrapText="0" vyd:clipText="0" mc:Ignorable="vyd"/>
    </s:xf>
    <s:xf numFmtId="165" fontId="2" borderId="2" applyNumberFormat="1" applyFont="1" applyBorder="1" applyAlignment="1">
      <s:alignment horizontal="left" vertical="top" wrapText="0" vyd:clipText="0" mc:Ignorable="vyd"/>
    </s:xf>
    <s:xf numFmtId="170" fontId="2" borderId="2" applyNumberFormat="1" applyFont="1" applyBorder="1" applyAlignment="1">
      <s:alignment horizontal="left" vertical="top" wrapText="0" vyd:clipText="0" mc:Ignorable="vyd"/>
    </s:xf>
    <s:xf fontId="8" fillId="2" applyFont="1" applyFill="1" applyAlignment="1">
      <s:alignment horizontal="left" wrapText="0" vyd:clipText="0" mc:Ignorable="vyd"/>
    </s:xf>
    <s:xf fillId="0" borderId="3" applyFill="1" applyBorder="1"/>
    <s:xf numFmtId="0" fontId="0" fillId="2" borderId="3" xfId="0" applyFill="1" applyBorder="1"/>
    <s:xf fontId="8" fillId="2" borderId="3" applyFont="1" applyFill="1" applyBorder="1" applyAlignment="1">
      <s:alignment horizontal="left" wrapText="0" vyd:clipText="0" mc:Ignorable="vyd"/>
    </s:xf>
    <s:xf fillId="2" borderId="3" applyFill="1" applyBorder="1"/>
    <s:xf fontId="2" borderId="3" applyFont="1" applyBorder="1" applyAlignment="1">
      <s:alignment horizontal="left" wrapText="0" vyd:clipText="1" mc:Ignorable="vyd"/>
    </s:xf>
    <s:xf fontId="2" fillId="0" borderId="3" applyFont="1" applyFill="1" applyBorder="1"/>
    <s:xf numFmtId="165" fontId="2" borderId="3" applyNumberFormat="1" applyFont="1" applyBorder="1" applyAlignment="1">
      <s:alignment horizontal="left" vertical="top" wrapText="0" vyd:clipText="0" mc:Ignorable="vyd"/>
    </s:xf>
    <s:xf numFmtId="170" fontId="2" borderId="3" applyNumberFormat="1" applyFont="1" applyBorder="1" applyAlignment="1">
      <s:alignment horizontal="left" vertical="top" wrapText="0" vyd:clipText="0" mc:Ignorable="vyd"/>
    </s:xf>
    <s:xf numFmtId="165" fontId="2" fillId="3" borderId="3" applyNumberFormat="1" applyFont="1" applyFill="1" applyBorder="1" applyAlignment="1">
      <s:alignment horizontal="left" vertical="top" wrapText="0" vyd:clipText="0" mc:Ignorable="vyd"/>
    </s:xf>
    <s:xf numFmtId="170" fontId="2" fillId="3" borderId="3" applyNumberFormat="1" applyFont="1" applyFill="1" applyBorder="1" applyAlignment="1">
      <s:alignment horizontal="left" vertical="top" wrapText="0" vyd:clipText="0" mc:Ignorable="vyd"/>
    </s:xf>
    <s:xf fontId="1" fillId="0" borderId="3" applyFont="1" applyFill="1" applyBorder="1" applyAlignment="1">
      <s:alignment horizontal="left" mc:Ignorable="vyd"/>
    </s:xf>
    <s:xf numFmtId="165" fontId="1" fillId="0" borderId="3" applyNumberFormat="1" applyFont="1" applyFill="1" applyBorder="1" applyAlignment="1">
      <s:alignment horizontal="left" mc:Ignorable="vyd"/>
    </s:xf>
    <s:xf numFmtId="165" fillId="0" borderId="3" applyNumberFormat="1" applyFill="1" applyBorder="1" applyAlignment="1">
      <s:alignment horizontal="left" mc:Ignorable="vyd"/>
    </s:xf>
    <s:xf fontId="1" borderId="3" applyFont="1" applyBorder="1" applyAlignment="1">
      <s:alignment horizontal="left" wrapText="0" vyd:clipText="1" mc:Ignorable="vyd"/>
    </s:xf>
    <s:xf numFmtId="10" fillId="0" borderId="3" applyNumberFormat="1" applyFill="1" applyBorder="1"/>
    <s:xf numFmtId="10" fillId="2" borderId="3" applyNumberFormat="1" applyFill="1" applyBorder="1"/>
    <s:xf numFmtId="10" fontId="2" borderId="3" applyNumberFormat="1" applyFont="1" applyBorder="1" applyAlignment="1">
      <s:alignment horizontal="left" wrapText="0" vyd:clipText="1" mc:Ignorable="vyd"/>
    </s:xf>
    <s:xf numFmtId="10" fontId="2" borderId="3" applyNumberFormat="1" applyFont="1" applyBorder="1" applyAlignment="1">
      <s:alignment horizontal="left" vertical="top" wrapText="0" vyd:clipText="0" mc:Ignorable="vyd"/>
    </s:xf>
    <s:xf numFmtId="10" fontId="2" fillId="3" borderId="3" applyNumberFormat="1" applyFont="1" applyFill="1" applyBorder="1" applyAlignment="1">
      <s:alignment horizontal="left" vertical="top" wrapText="0" vyd:clipText="0" mc:Ignorable="vyd"/>
    </s:xf>
    <s:xf numFmtId="10" fontId="1" fillId="0" borderId="3" applyNumberFormat="1" applyFont="1" applyFill="1" applyBorder="1" applyAlignment="1">
      <s:alignment horizontal="left" mc:Ignorable="vyd"/>
    </s:xf>
    <s:xf numFmtId="171" fillId="2" borderId="3" applyNumberFormat="1" applyFill="1" applyBorder="1"/>
    <s:xf numFmtId="171" fontId="2" borderId="3" applyNumberFormat="1" applyFont="1" applyBorder="1" applyAlignment="1">
      <s:alignment horizontal="left" wrapText="0" vyd:clipText="1" mc:Ignorable="vyd"/>
    </s:xf>
    <s:xf numFmtId="171" fontId="2" borderId="3" applyNumberFormat="1" applyFont="1" applyBorder="1" applyAlignment="1">
      <s:alignment horizontal="left" vertical="top" wrapText="0" vyd:clipText="0" mc:Ignorable="vyd"/>
    </s:xf>
    <s:xf numFmtId="171" fontId="2" fillId="3" borderId="3" applyNumberFormat="1" applyFont="1" applyFill="1" applyBorder="1" applyAlignment="1">
      <s:alignment horizontal="left" vertical="top" wrapText="0" vyd:clipText="0" mc:Ignorable="vyd"/>
    </s:xf>
    <s:xf numFmtId="171" fontId="1" fillId="0" borderId="3" applyNumberFormat="1" applyFont="1" applyFill="1" applyBorder="1" applyAlignment="1">
      <s:alignment horizontal="left" mc:Ignorable="vyd"/>
    </s:xf>
    <s:xf numFmtId="9" fillId="2" borderId="3" applyNumberFormat="1" applyFill="1" applyBorder="1"/>
    <s:xf numFmtId="9" fontId="2" borderId="3" applyNumberFormat="1" applyFont="1" applyBorder="1" applyAlignment="1">
      <s:alignment horizontal="left" wrapText="0" vyd:clipText="1" mc:Ignorable="vyd"/>
    </s:xf>
    <s:xf numFmtId="9" fontId="2" borderId="3" applyNumberFormat="1" applyFont="1" applyBorder="1" applyAlignment="1">
      <s:alignment horizontal="left" vertical="top" wrapText="0" vyd:clipText="0" mc:Ignorable="vyd"/>
    </s:xf>
    <s:xf numFmtId="9" fontId="2" fillId="3" borderId="3" applyNumberFormat="1" applyFont="1" applyFill="1" applyBorder="1" applyAlignment="1">
      <s:alignment horizontal="left" vertical="top" wrapText="0" vyd:clipText="0" mc:Ignorable="vyd"/>
    </s:xf>
    <s:xf numFmtId="9" fontId="1" fillId="0" borderId="3" applyNumberFormat="1" applyFont="1" applyFill="1" applyBorder="1" applyAlignment="1">
      <s:alignment horizontal="left" mc:Ignorable="vyd"/>
    </s:xf>
    <s:xf numFmtId="10" fillId="0" borderId="3" applyNumberFormat="1" applyFill="1" applyBorder="1" applyAlignment="1">
      <s:alignment horizontal="right" mc:Ignorable="vyd"/>
    </s:xf>
    <s:xf numFmtId="9" fillId="2" borderId="3" applyNumberFormat="1" applyFill="1" applyBorder="1" applyAlignment="1">
      <s:alignment horizontal="right" mc:Ignorable="vyd"/>
    </s:xf>
    <s:xf numFmtId="9" fontId="2" borderId="3" applyNumberFormat="1" applyFont="1" applyBorder="1" applyAlignment="1">
      <s:alignment horizontal="right" wrapText="0" vyd:clipText="1" mc:Ignorable="vyd"/>
    </s:xf>
    <s:xf numFmtId="9" fontId="2" borderId="3" applyNumberFormat="1" applyFont="1" applyBorder="1" applyAlignment="1">
      <s:alignment horizontal="right" vertical="top" wrapText="0" vyd:clipText="0" mc:Ignorable="vyd"/>
    </s:xf>
    <s:xf numFmtId="9" fontId="2" fillId="3" borderId="3" applyNumberFormat="1" applyFont="1" applyFill="1" applyBorder="1" applyAlignment="1">
      <s:alignment horizontal="right" vertical="top" wrapText="0" vyd:clipText="0" mc:Ignorable="vyd"/>
    </s:xf>
    <s:xf numFmtId="9" fontId="1" fillId="0" borderId="3" applyNumberFormat="1" applyFont="1" applyFill="1" applyBorder="1" applyAlignment="1">
      <s:alignment horizontal="right" mc:Ignorable="vyd"/>
    </s:xf>
    <s:xf fillId="0" borderId="3" applyFill="1" applyBorder="1" applyAlignment="1">
      <s:alignment horizontal="right" mc:Ignorable="vyd"/>
    </s:xf>
    <s:xf fillId="2" borderId="3" applyFill="1" applyBorder="1" applyAlignment="1">
      <s:alignment horizontal="right" mc:Ignorable="vyd"/>
    </s:xf>
    <s:xf fontId="2" borderId="3" applyFont="1" applyBorder="1" applyAlignment="1">
      <s:alignment horizontal="right" wrapText="0" vyd:clipText="1" mc:Ignorable="vyd"/>
    </s:xf>
    <s:xf numFmtId="165" fontId="2" borderId="3" applyNumberFormat="1" applyFont="1" applyBorder="1" applyAlignment="1">
      <s:alignment horizontal="right" vertical="top" wrapText="0" vyd:clipText="0" mc:Ignorable="vyd"/>
    </s:xf>
    <s:xf numFmtId="165" fontId="2" fillId="3" borderId="3" applyNumberFormat="1" applyFont="1" applyFill="1" applyBorder="1" applyAlignment="1">
      <s:alignment horizontal="right" vertical="top" wrapText="0" vyd:clipText="0" mc:Ignorable="vyd"/>
    </s:xf>
    <s:xf numFmtId="166" fillId="0" borderId="3" applyNumberFormat="1" applyFill="1" applyBorder="1" applyAlignment="1">
      <s:alignment horizontal="right" mc:Ignorable="vyd"/>
    </s:xf>
    <s:xf numFmtId="166" fillId="2" borderId="3" applyNumberFormat="1" applyFill="1" applyBorder="1" applyAlignment="1">
      <s:alignment horizontal="right" mc:Ignorable="vyd"/>
    </s:xf>
    <s:xf numFmtId="166" fontId="2" borderId="3" applyNumberFormat="1" applyFont="1" applyBorder="1" applyAlignment="1">
      <s:alignment horizontal="right" wrapText="0" vyd:clipText="1" mc:Ignorable="vyd"/>
    </s:xf>
    <s:xf numFmtId="166" fontId="2" borderId="3" applyNumberFormat="1" applyFont="1" applyBorder="1" applyAlignment="1">
      <s:alignment horizontal="right" vertical="top" wrapText="0" vyd:clipText="0" mc:Ignorable="vyd"/>
    </s:xf>
    <s:xf numFmtId="166" fontId="2" fillId="3" borderId="3" applyNumberFormat="1" applyFont="1" applyFill="1" applyBorder="1" applyAlignment="1">
      <s:alignment horizontal="right" vertical="top" wrapText="0" vyd:clipText="0" mc:Ignorable="vyd"/>
    </s:xf>
    <s:xf numFmtId="167" fillId="2" borderId="3" applyNumberFormat="1" applyFill="1" applyBorder="1" applyAlignment="1">
      <s:alignment horizontal="right" mc:Ignorable="vyd"/>
    </s:xf>
    <s:xf numFmtId="167" fontId="2" borderId="3" applyNumberFormat="1" applyFont="1" applyBorder="1" applyAlignment="1">
      <s:alignment horizontal="right" wrapText="0" vyd:clipText="1" mc:Ignorable="vyd"/>
    </s:xf>
    <s:xf numFmtId="167" fontId="2" borderId="3" applyNumberFormat="1" applyFont="1" applyBorder="1" applyAlignment="1">
      <s:alignment horizontal="right" vertical="top" wrapText="0" vyd:clipText="0" mc:Ignorable="vyd"/>
    </s:xf>
    <s:xf numFmtId="167" fontId="2" fillId="3" borderId="3" applyNumberFormat="1" applyFont="1" applyFill="1" applyBorder="1" applyAlignment="1">
      <s:alignment horizontal="right" vertical="top" wrapText="0" vyd:clipText="0" mc:Ignorable="vyd"/>
    </s:xf>
    <s:xf numFmtId="168" fillId="2" borderId="3" applyNumberFormat="1" applyFill="1" applyBorder="1" applyAlignment="1">
      <s:alignment horizontal="right" mc:Ignorable="vyd"/>
    </s:xf>
    <s:xf numFmtId="168" fontId="2" borderId="3" applyNumberFormat="1" applyFont="1" applyBorder="1" applyAlignment="1">
      <s:alignment horizontal="right" wrapText="0" vyd:clipText="1" mc:Ignorable="vyd"/>
    </s:xf>
    <s:xf numFmtId="168" fontId="2" borderId="3" applyNumberFormat="1" applyFont="1" applyBorder="1" applyAlignment="1">
      <s:alignment horizontal="right" vertical="top" wrapText="0" vyd:clipText="0" mc:Ignorable="vyd"/>
    </s:xf>
    <s:xf numFmtId="168" fontId="2" fillId="3" borderId="3" applyNumberFormat="1" applyFont="1" applyFill="1" applyBorder="1" applyAlignment="1">
      <s:alignment horizontal="right" vertical="top" wrapText="0" vyd:clipText="0" mc:Ignorable="vyd"/>
    </s:xf>
    <s:xf fontId="2" fillId="4" applyFont="1" applyFill="1"/>
    <s:xf fontId="2" fillId="4" borderId="3" applyFont="1" applyFill="1" applyBorder="1" applyAlignment="1">
      <s:alignment horizontal="left" wrapText="0" vyd:clipText="1" mc:Ignorable="vyd"/>
    </s:xf>
    <s:xf fontId="1" fillId="4" borderId="3" applyFont="1" applyFill="1" applyBorder="1" applyAlignment="1">
      <s:alignment horizontal="left" wrapText="0" vyd:clipText="1" mc:Ignorable="vyd"/>
    </s:xf>
    <s:xf numFmtId="9" fontId="2" fillId="4" borderId="3" applyNumberFormat="1" applyFont="1" applyFill="1" applyBorder="1" applyAlignment="1">
      <s:alignment horizontal="right" wrapText="0" vyd:clipText="1" mc:Ignorable="vyd"/>
    </s:xf>
    <s:xf numFmtId="168" fontId="2" fillId="4" borderId="3" applyNumberFormat="1" applyFont="1" applyFill="1" applyBorder="1" applyAlignment="1">
      <s:alignment horizontal="right" wrapText="0" vyd:clipText="1" mc:Ignorable="vyd"/>
    </s:xf>
    <s:xf fontId="2" fillId="4" borderId="3" applyFont="1" applyFill="1" applyBorder="1"/>
    <s:xf numFmtId="165" fillId="2" borderId="3" applyNumberFormat="1" applyFill="1" applyBorder="1"/>
    <s:xf fontId="2" fillId="4" borderId="3" applyFont="1" applyFill="1" applyBorder="1" applyAlignment="1">
      <s:alignment horizontal="right" wrapText="0" vyd:clipText="1" mc:Ignorable="vyd"/>
    </s:xf>
    <s:xf numFmtId="165" fillId="2" borderId="3" applyNumberFormat="1" applyFill="1" applyBorder="1" applyAlignment="1">
      <s:alignment horizontal="right" mc:Ignorable="vyd"/>
    </s:xf>
    <s:xf numFmtId="165" fillId="0" borderId="3" applyNumberFormat="1" applyFill="1" applyBorder="1" applyAlignment="1">
      <s:alignment horizontal="right" mc:Ignorable="vyd"/>
    </s:xf>
    <s:xf numFmtId="0" fontId="9" fillId="2" borderId="3" xfId="0" applyFont="1" applyFill="1" applyBorder="1"/>
    <s:xf numFmtId="165" fontId="1" fillId="2" borderId="3" applyNumberFormat="1" applyFont="1" applyFill="1" applyBorder="1" applyAlignment="1">
      <s:alignment horizontal="right" mc:Ignorable="vyd"/>
    </s:xf>
    <s:xf numFmtId="9" fontId="1" fillId="2" borderId="3" applyNumberFormat="1" applyFont="1" applyFill="1" applyBorder="1" applyAlignment="1">
      <s:alignment horizontal="right" mc:Ignorable="vyd"/>
    </s:xf>
    <s:xf numFmtId="168" fontId="1" fillId="2" borderId="3" applyNumberFormat="1" applyFont="1" applyFill="1" applyBorder="1" applyAlignment="1">
      <s:alignment horizontal="right" mc:Ignorable="vyd"/>
    </s:xf>
    <s:xf fontId="1" fillId="2" borderId="3" applyFont="1" applyFill="1" applyBorder="1"/>
    <s:xf numFmtId="164" borderId="1" applyNumberFormat="1" applyBorder="1" applyAlignment="1">
      <s:alignment horizontal="left" vertical="top" wrapText="0" vyd:clipText="0" mc:Ignorable="vyd"/>
    </s:xf>
    <s:xf borderId="4" applyBorder="1"/>
    <s:xf borderId="4" applyBorder="1" applyAlignment="1">
      <s:alignment horizontal="left" wrapText="0" vyd:clipText="1" mc:Ignorable="vyd"/>
    </s:xf>
    <s:xf fillId="0" borderId="4" applyFill="1" applyBorder="1"/>
    <s:xf numFmtId="164" borderId="4" applyNumberFormat="1" applyBorder="1" applyAlignment="1">
      <s:alignment horizontal="left" vertical="top" wrapText="0" vyd:clipText="0" mc:Ignorable="vyd"/>
    </s:xf>
    <s:xf borderId="4" applyBorder="1" applyAlignment="1">
      <s:alignment horizontal="left" vertical="top" wrapText="0" vyd:clipText="0" mc:Ignorable="vyd"/>
    </s:xf>
    <s:xf numFmtId="169" borderId="4" applyNumberFormat="1" applyBorder="1" applyAlignment="1">
      <s:alignment horizontal="left" vertical="top" wrapText="0" vyd:clipText="0" mc:Ignorable="vyd"/>
    </s:xf>
    <s:xf numFmtId="164" fillId="3" borderId="4" applyNumberFormat="1" applyFill="1" applyBorder="1" applyAlignment="1">
      <s:alignment horizontal="left" vertical="top" wrapText="0" vyd:clipText="0" mc:Ignorable="vyd"/>
    </s:xf>
    <s:xf fillId="3" borderId="4" applyFill="1" applyBorder="1" applyAlignment="1">
      <s:alignment horizontal="left" vertical="top" wrapText="0" vyd:clipText="0" mc:Ignorable="vyd"/>
    </s:xf>
    <s:xf numFmtId="169" fillId="3" borderId="4" applyNumberFormat="1" applyFill="1" applyBorder="1" applyAlignment="1">
      <s:alignment horizontal="left" vertical="top" wrapText="0" vyd:clipText="0" mc:Ignorable="vyd"/>
    </s:xf>
    <s:xf fontId="1" fillId="3" borderId="4" applyFont="1" applyFill="1" applyBorder="1" applyAlignment="1">
      <s:alignment horizontal="left" vertical="top" wrapText="0" vyd:clipText="0" mc:Ignorable="vyd"/>
    </s:xf>
    <s:xf numFmtId="169" fontId="1" fillId="3" borderId="4" applyNumberFormat="1" applyFont="1" applyFill="1" applyBorder="1" applyAlignment="1">
      <s:alignment horizontal="left" vertical="top" wrapText="0" vyd:clipText="0" mc:Ignorable="vyd"/>
    </s:xf>
    <s:xf fillId="4" borderId="4" applyFill="1" applyBorder="1"/>
    <s:xf fillId="4" borderId="3" applyFill="1" applyBorder="1"/>
    <s:xf fillId="2" borderId="4" applyFill="1" applyBorder="1"/>
    <s:xf numFmtId="169" fontId="1" fillId="2" borderId="3" applyNumberFormat="1" applyFont="1" applyFill="1" applyBorder="1" applyAlignment="1">
      <s:alignment horizontal="left" vertical="top" wrapText="0" vyd:clipText="0" mc:Ignorable="vyd"/>
    </s:xf>
    <s:xf numFmtId="166" fillId="0" borderId="3" applyNumberFormat="1" applyFill="1" applyBorder="1"/>
    <s:xf numFmtId="166" fontId="1" fillId="2" borderId="3" applyNumberFormat="1" applyFont="1" applyFill="1" applyBorder="1" applyAlignment="1">
      <s:alignment horizontal="right" mc:Ignorable="vyd"/>
    </s:xf>
    <s:xf numFmtId="166" fontId="1" fillId="2" borderId="3" applyNumberFormat="1" applyFont="1" applyFill="1" applyBorder="1"/>
    <s:xf numFmtId="166" fillId="4" borderId="3" applyNumberFormat="1" applyFill="1" applyBorder="1" applyAlignment="1">
      <s:alignment horizontal="left" wrapText="0" vyd:clipText="1" mc:Ignorable="vyd"/>
    </s:xf>
    <s:xf numFmtId="166" fontId="1" fillId="2" borderId="3" applyNumberFormat="1" applyFont="1" applyFill="1" applyBorder="1" applyAlignment="1">
      <s:alignment horizontal="left" vertical="top" wrapText="0" vyd:clipText="0" mc:Ignorable="vyd"/>
    </s:xf>
    <s:xf numFmtId="167" fontId="1" fillId="2" borderId="3" applyNumberFormat="1" applyFont="1" applyFill="1" applyBorder="1" applyAlignment="1">
      <s:alignment horizontal="right" mc:Ignorable="vyd"/>
    </s:xf>
    <s:xf numFmtId="167" fillId="4" borderId="3" applyNumberFormat="1" applyFill="1" applyBorder="1" applyAlignment="1">
      <s:alignment horizontal="left" wrapText="0" vyd:clipText="1" mc:Ignorable="vyd"/>
    </s:xf>
    <s:xf numFmtId="167" fontId="1" fillId="2" borderId="3" applyNumberFormat="1" applyFont="1" applyFill="1" applyBorder="1" applyAlignment="1">
      <s:alignment horizontal="left" vertical="top" wrapText="0" vyd:clipText="0" mc:Ignorable="vyd"/>
    </s:xf>
    <s:xf numFmtId="167" fontId="1" fillId="2" borderId="3" applyNumberFormat="1" applyFont="1" applyFill="1" applyBorder="1"/>
    <s:xf numFmtId="168" fillId="4" borderId="3" applyNumberFormat="1" applyFill="1" applyBorder="1" applyAlignment="1">
      <s:alignment horizontal="left" wrapText="0" vyd:clipText="1" mc:Ignorable="vyd"/>
    </s:xf>
    <s:xf numFmtId="168" fontId="1" fillId="2" borderId="3" applyNumberFormat="1" applyFont="1" applyFill="1" applyBorder="1" applyAlignment="1">
      <s:alignment horizontal="left" vertical="top" wrapText="0" vyd:clipText="0" mc:Ignorable="vyd"/>
    </s:xf>
    <s:xf numFmtId="168" fontId="1" fillId="2" borderId="3" applyNumberFormat="1" applyFont="1" applyFill="1" applyBorder="1"/>
    <s:xf numFmtId="168" fontId="9" fillId="2" borderId="0" xfId="0" applyNumberFormat="1" applyFont="1" applyFill="1"/>
    <s:xf numFmtId="169" fontId="1" applyNumberFormat="1" applyFont="1" applyAlignment="1">
      <s:alignment horizontal="left" mc:Ignorable="vyd"/>
    </s:xf>
    <s:xf fillId="5" applyFill="1" applyAlignment="1">
      <s:alignment horizontal="left" mc:Ignorable="vyd"/>
    </s:xf>
    <s:xf fontId="1" fillId="5" applyFont="1" applyFill="1" applyAlignment="1">
      <s:alignment horizontal="left" mc:Ignorable="vyd"/>
    </s:xf>
    <s:xf numFmtId="169" fontId="1" fillId="5" applyNumberFormat="1" applyFont="1" applyFill="1" applyAlignment="1">
      <s:alignment horizontal="left" mc:Ignorable="vyd"/>
    </s:xf>
    <s:xf fillId="6" applyFill="1"/>
    <s:xf fillId="6" applyFill="1" applyAlignment="1">
      <s:alignment horizontal="left" mc:Ignorable="vyd"/>
    </s:xf>
    <s:xf fontId="1" fillId="6" applyFont="1" applyFill="1" applyAlignment="1">
      <s:alignment horizontal="left" mc:Ignorable="vyd"/>
    </s:xf>
    <s:xf numFmtId="169" fontId="1" fillId="6" applyNumberFormat="1" applyFont="1" applyFill="1" applyAlignment="1">
      <s:alignment horizontal="left" mc:Ignorable="vyd"/>
    </s:xf>
    <s:xf fillId="7" applyFill="1"/>
    <s:xf fillId="7" applyFill="1" applyAlignment="1">
      <s:alignment horizontal="left" mc:Ignorable="vyd"/>
    </s:xf>
    <s:xf fontId="1" fillId="7" applyFont="1" applyFill="1" applyAlignment="1">
      <s:alignment horizontal="left" mc:Ignorable="vyd"/>
    </s:xf>
    <s:xf numFmtId="169" fontId="1" fillId="7" applyNumberFormat="1" applyFont="1" applyFill="1" applyAlignment="1">
      <s:alignment horizontal="left" mc:Ignorable="vyd"/>
    </s:xf>
    <s:xf fillId="8" applyFill="1"/>
    <s:xf fillId="8" applyFill="1" applyAlignment="1">
      <s:alignment horizontal="left" mc:Ignorable="vyd"/>
    </s:xf>
    <s:xf fontId="1" fillId="8" applyFont="1" applyFill="1" applyAlignment="1">
      <s:alignment horizontal="left" mc:Ignorable="vyd"/>
    </s:xf>
    <s:xf numFmtId="169" fontId="1" fillId="8" applyNumberFormat="1" applyFont="1" applyFill="1" applyAlignment="1">
      <s:alignment horizontal="left" mc:Ignorable="vyd"/>
    </s:xf>
    <s:xf fillId="9" applyFill="1"/>
    <s:xf fillId="9" applyFill="1" applyAlignment="1">
      <s:alignment horizontal="left" mc:Ignorable="vyd"/>
    </s:xf>
    <s:xf fontId="1" fillId="9" applyFont="1" applyFill="1" applyAlignment="1">
      <s:alignment horizontal="left" mc:Ignorable="vyd"/>
    </s:xf>
    <s:xf numFmtId="169" fontId="1" fillId="9" applyNumberFormat="1" applyFont="1" applyFill="1" applyAlignment="1">
      <s:alignment horizontal="left" mc:Ignorable="vyd"/>
    </s:xf>
    <s:xf numFmtId="166" fontId="1" fillId="7" applyNumberFormat="1" applyFont="1" applyFill="1" applyAlignment="1">
      <s:alignment horizontal="left" mc:Ignorable="vyd"/>
    </s:xf>
    <s:xf numFmtId="166" fontId="1" fillId="9" applyNumberFormat="1" applyFont="1" applyFill="1" applyAlignment="1">
      <s:alignment horizontal="left" mc:Ignorable="vyd"/>
    </s:xf>
    <s:xf numFmtId="167" fontId="1" fillId="7" applyNumberFormat="1" applyFont="1" applyFill="1" applyAlignment="1">
      <s:alignment horizontal="left" mc:Ignorable="vyd"/>
    </s:xf>
    <s:xf numFmtId="167" fontId="1" fillId="9" applyNumberFormat="1" applyFont="1" applyFill="1" applyAlignment="1">
      <s:alignment horizontal="left" mc:Ignorable="vyd"/>
    </s:xf>
    <s:xf numFmtId="168" fontId="1" fillId="7" applyNumberFormat="1" applyFont="1" applyFill="1" applyAlignment="1">
      <s:alignment horizontal="left" mc:Ignorable="vyd"/>
    </s:xf>
    <s:xf numFmtId="168" fontId="1" fillId="9" applyNumberFormat="1" applyFont="1" applyFill="1" applyAlignment="1">
      <s:alignment horizontal="left" mc:Ignorable="vyd"/>
    </s:xf>
    <s:xf fontId="1" fillId="7" applyFont="1" applyFill="1" applyAlignment="1">
      <s:alignment horizontal="left" wrapText="1" vyd:clipText="0" mc:Ignorable="vyd"/>
    </s:xf>
    <s:xf fontId="1" fillId="9" applyFont="1" applyFill="1" applyAlignment="1">
      <s:alignment horizontal="left" wrapText="1" vyd:clipText="0" mc:Ignorable="vyd"/>
    </s:xf>
    <s:xf fillId="7" applyFill="1" applyAlignment="1">
      <s:alignment vertical="center" mc:Ignorable="vyd"/>
    </s:xf>
    <s:xf fillId="9" applyFill="1" applyAlignment="1">
      <s:alignment vertical="center" mc:Ignorable="vyd"/>
    </s:xf>
    <s:xf fillId="7" applyFill="1" applyAlignment="1">
      <s:alignment horizontal="left" vertical="center" mc:Ignorable="vyd"/>
    </s:xf>
    <s:xf fontId="1" fillId="7" applyFont="1" applyFill="1" applyAlignment="1">
      <s:alignment horizontal="left" vertical="center" wrapText="1" vyd:clipText="0" mc:Ignorable="vyd"/>
    </s:xf>
    <s:xf numFmtId="168" fontId="1" fillId="7" applyNumberFormat="1" applyFont="1" applyFill="1" applyAlignment="1">
      <s:alignment horizontal="left" vertical="center" mc:Ignorable="vyd"/>
    </s:xf>
    <s:xf fillId="9" applyFill="1" applyAlignment="1">
      <s:alignment horizontal="left" vertical="center" mc:Ignorable="vyd"/>
    </s:xf>
    <s:xf fontId="1" fillId="9" applyFont="1" applyFill="1" applyAlignment="1">
      <s:alignment horizontal="left" vertical="center" wrapText="1" vyd:clipText="0" mc:Ignorable="vyd"/>
    </s:xf>
    <s:xf numFmtId="168" fontId="1" fillId="9" applyNumberFormat="1" applyFont="1" applyFill="1" applyAlignment="1">
      <s:alignment horizontal="left" vertical="center" mc:Ignorable="vyd"/>
    </s:xf>
    <s:xf fillId="7" applyFill="1" applyAlignment="1">
      <s:alignment vertical="top" mc:Ignorable="vyd"/>
    </s:xf>
    <s:xf fillId="9" applyFill="1" applyAlignment="1">
      <s:alignment vertical="top" mc:Ignorable="vyd"/>
    </s:xf>
    <s:xf fillId="7" applyFill="1" applyAlignment="1">
      <s:alignment horizontal="left" vertical="top" mc:Ignorable="vyd"/>
    </s:xf>
    <s:xf fontId="1" fillId="7" applyFont="1" applyFill="1" applyAlignment="1">
      <s:alignment horizontal="left" vertical="top" wrapText="1" vyd:clipText="0" mc:Ignorable="vyd"/>
    </s:xf>
    <s:xf numFmtId="168" fontId="1" fillId="7" applyNumberFormat="1" applyFont="1" applyFill="1" applyAlignment="1">
      <s:alignment horizontal="left" vertical="top" mc:Ignorable="vyd"/>
    </s:xf>
    <s:xf fillId="9" applyFill="1" applyAlignment="1">
      <s:alignment horizontal="left" vertical="top" mc:Ignorable="vyd"/>
    </s:xf>
    <s:xf fontId="1" fillId="9" applyFont="1" applyFill="1" applyAlignment="1">
      <s:alignment horizontal="left" vertical="top" wrapText="1" vyd:clipText="0" mc:Ignorable="vyd"/>
    </s:xf>
    <s:xf numFmtId="168" fontId="1" fillId="9" applyNumberFormat="1" applyFont="1" applyFill="1" applyAlignment="1">
      <s:alignment horizontal="left" vertical="top" mc:Ignorable="vyd"/>
    </s:xf>
    <s:xf fillId="2" applyFill="1" applyAlignment="1">
      <s:alignment horizontal="left" vertical="top" mc:Ignorable="vyd"/>
    </s:xf>
    <s:xf numFmtId="168" fontId="1" fillId="2" applyNumberFormat="1" applyFont="1" applyFill="1" applyAlignment="1">
      <s:alignment horizontal="left" vertical="top" mc:Ignorable="vyd"/>
    </s:xf>
    <s:xf fillId="5" applyFill="1" applyAlignment="1">
      <s:alignment vertical="top" mc:Ignorable="vyd"/>
    </s:xf>
    <s:xf fillId="5" applyFill="1" applyAlignment="1">
      <s:alignment horizontal="left" vertical="top" mc:Ignorable="vyd"/>
    </s:xf>
    <s:xf fontId="1" fillId="5" applyFont="1" applyFill="1" applyAlignment="1">
      <s:alignment horizontal="left" vertical="top" wrapText="1" vyd:clipText="0" mc:Ignorable="vyd"/>
    </s:xf>
    <s:xf numFmtId="168" fontId="1" fillId="5" applyNumberFormat="1" applyFont="1" applyFill="1" applyAlignment="1">
      <s:alignment horizontal="left" vertical="top" mc:Ignorable="vyd"/>
    </s:xf>
    <s:xf fillId="10" applyFill="1" applyAlignment="1">
      <s:alignment vertical="top" mc:Ignorable="vyd"/>
    </s:xf>
    <s:xf fillId="10" applyFill="1" applyAlignment="1">
      <s:alignment horizontal="left" vertical="top" mc:Ignorable="vyd"/>
    </s:xf>
    <s:xf fontId="1" fillId="10" applyFont="1" applyFill="1" applyAlignment="1">
      <s:alignment horizontal="left" vertical="top" wrapText="1" vyd:clipText="0" mc:Ignorable="vyd"/>
    </s:xf>
    <s:xf numFmtId="168" fontId="1" fillId="10" applyNumberFormat="1" applyFont="1" applyFill="1" applyAlignment="1">
      <s:alignment horizontal="left" vertical="top" mc:Ignorable="vyd"/>
    </s:xf>
    <s:xf fontId="1" borderId="5" applyFont="1" applyBorder="1"/>
    <s:xf numFmtId="169" fontId="1" borderId="5" applyNumberFormat="1" applyFont="1" applyBorder="1"/>
    <s:xf borderId="5" applyBorder="1"/>
    <s:xf numFmtId="168" fillId="5" applyNumberFormat="1" applyFill="1" applyAlignment="1">
      <s:alignment horizontal="left" vertical="top" mc:Ignorable="vyd"/>
    </s:xf>
    <s:xf fillId="4" borderId="1" applyFill="1" applyBorder="1" applyAlignment="1">
      <s:alignment horizontal="left" wrapText="0" vyd:clipText="1" mc:Ignorable="vyd"/>
    </s:xf>
    <s:xf fontId="1" fillId="2" borderId="2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numFmtId="169" fontId="1" fillId="2" borderId="2" applyNumberFormat="1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numFmtId="169" fontId="1" fillId="2" borderId="2" applyNumberFormat="1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numFmtId="169" fontId="1" fillId="2" borderId="2" applyNumberFormat="1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numFmtId="169" fontId="1" fillId="2" borderId="2" applyNumberFormat="1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2" applyFont="1" applyFill="1" applyBorder="1" applyAlignment="1">
      <s:alignment horizontal="left" vertical="top" wrapText="0" vyd:clipText="0" mc:Ignorable="vyd"/>
    </s:xf>
    <s:xf numFmtId="169" fontId="1" fillId="2" borderId="2" applyNumberFormat="1" applyFont="1" applyFill="1" applyBorder="1" applyAlignment="1">
      <s:alignment horizontal="left" vertical="top" wrapText="0" vyd:clipText="0" mc:Ignorable="vyd"/>
    </s:xf>
    <s:xf fillId="2" borderId="2" applyFill="1" applyBorder="1" applyAlignment="1">
      <s:alignment horizontal="left" vertical="top" wrapText="0" vyd:clipText="0" mc:Ignorable="vyd"/>
    </s:xf>
    <s:xf fontId="1" fillId="2" borderId="1" applyFont="1" applyFill="1" applyBorder="1" applyAlignment="1">
      <s:alignment horizontal="left" vertical="top" wrapText="0" vyd:clipText="0" mc:Ignorable="vyd"/>
    </s:xf>
    <s:xf numFmtId="169" fontId="1" fillId="2" borderId="1" applyNumberFormat="1" applyFont="1" applyFill="1" applyBorder="1" applyAlignment="1">
      <s:alignment horizontal="left" vertical="top" wrapText="0" vyd:clipText="0" mc:Ignorable="vyd"/>
    </s:xf>
    <s:xf fillId="2" borderId="1" applyFill="1" applyBorder="1" applyAlignment="1">
      <s:alignment horizontal="left" vertical="top" wrapText="0" vyd:clipText="0" mc:Ignorable="vyd"/>
    </s:xf>
    <s:xf numFmtId="166" fillId="4" borderId="1" applyNumberFormat="1" applyFill="1" applyBorder="1" applyAlignment="1">
      <s:alignment horizontal="left" wrapText="0" vyd:clipText="1" mc:Ignorable="vyd"/>
    </s:xf>
    <s:xf numFmtId="166" fillId="2" borderId="2" applyNumberFormat="1" applyFill="1" applyBorder="1" applyAlignment="1">
      <s:alignment horizontal="left" vertical="top" wrapText="0" vyd:clipText="0" mc:Ignorable="vyd"/>
    </s:xf>
    <s:xf numFmtId="166" fontId="1" fillId="2" borderId="2" applyNumberFormat="1" applyFont="1" applyFill="1" applyBorder="1" applyAlignment="1">
      <s:alignment horizontal="left" vertical="top" wrapText="0" vyd:clipText="0" mc:Ignorable="vyd"/>
    </s:xf>
    <s:xf numFmtId="166" fillId="3" borderId="2" applyNumberFormat="1" applyFill="1" applyBorder="1" applyAlignment="1">
      <s:alignment horizontal="left" vertical="top" wrapText="0" vyd:clipText="0" mc:Ignorable="vyd"/>
    </s:xf>
    <s:xf numFmtId="166" borderId="2" applyNumberFormat="1" applyBorder="1" applyAlignment="1">
      <s:alignment horizontal="left" vertical="top" wrapText="0" vyd:clipText="0" mc:Ignorable="vyd"/>
    </s:xf>
    <s:xf numFmtId="166" fontId="1" fillId="3" borderId="2" applyNumberFormat="1" applyFont="1" applyFill="1" applyBorder="1" applyAlignment="1">
      <s:alignment horizontal="left" vertical="top" wrapText="0" vyd:clipText="0" mc:Ignorable="vyd"/>
    </s:xf>
    <s:xf numFmtId="166" fontId="1" borderId="2" applyNumberFormat="1" applyFont="1" applyBorder="1" applyAlignment="1">
      <s:alignment horizontal="left" vertical="top" wrapText="0" vyd:clipText="0" mc:Ignorable="vyd"/>
    </s:xf>
    <s:xf numFmtId="167" fillId="4" borderId="1" applyNumberFormat="1" applyFill="1" applyBorder="1" applyAlignment="1">
      <s:alignment horizontal="left" wrapText="0" vyd:clipText="1" mc:Ignorable="vyd"/>
    </s:xf>
    <s:xf numFmtId="167" fillId="2" borderId="2" applyNumberFormat="1" applyFill="1" applyBorder="1" applyAlignment="1">
      <s:alignment horizontal="left" vertical="top" wrapText="0" vyd:clipText="0" mc:Ignorable="vyd"/>
    </s:xf>
    <s:xf numFmtId="167" borderId="2" applyNumberFormat="1" applyBorder="1" applyAlignment="1">
      <s:alignment horizontal="left" vertical="top" wrapText="0" vyd:clipText="0" mc:Ignorable="vyd"/>
    </s:xf>
    <s:xf numFmtId="167" fillId="3" borderId="2" applyNumberFormat="1" applyFill="1" applyBorder="1" applyAlignment="1">
      <s:alignment horizontal="left" vertical="top" wrapText="0" vyd:clipText="0" mc:Ignorable="vyd"/>
    </s:xf>
    <s:xf numFmtId="167" fontId="1" fillId="3" borderId="2" applyNumberFormat="1" applyFont="1" applyFill="1" applyBorder="1" applyAlignment="1">
      <s:alignment horizontal="left" vertical="top" wrapText="0" vyd:clipText="0" mc:Ignorable="vyd"/>
    </s:xf>
    <s:xf numFmtId="167" fontId="1" borderId="2" applyNumberFormat="1" applyFont="1" applyBorder="1" applyAlignment="1">
      <s:alignment horizontal="left" vertical="top" wrapText="0" vyd:clipText="0" mc:Ignorable="vyd"/>
    </s:xf>
    <s:xf numFmtId="167" fontId="1" fillId="2" borderId="2" applyNumberFormat="1" applyFont="1" applyFill="1" applyBorder="1" applyAlignment="1">
      <s:alignment horizontal="left" vertical="top" wrapText="0" vyd:clipText="0" mc:Ignorable="vyd"/>
    </s:xf>
    <s:xf numFmtId="168" fillId="4" borderId="1" applyNumberFormat="1" applyFill="1" applyBorder="1" applyAlignment="1">
      <s:alignment horizontal="left" wrapText="0" vyd:clipText="1" mc:Ignorable="vyd"/>
    </s:xf>
    <s:xf numFmtId="168" fillId="2" borderId="2" applyNumberFormat="1" applyFill="1" applyBorder="1" applyAlignment="1">
      <s:alignment horizontal="left" vertical="top" wrapText="0" vyd:clipText="0" mc:Ignorable="vyd"/>
    </s:xf>
    <s:xf numFmtId="168" borderId="2" applyNumberFormat="1" applyBorder="1" applyAlignment="1">
      <s:alignment horizontal="left" vertical="top" wrapText="0" vyd:clipText="0" mc:Ignorable="vyd"/>
    </s:xf>
    <s:xf numFmtId="168" fillId="3" borderId="2" applyNumberFormat="1" applyFill="1" applyBorder="1" applyAlignment="1">
      <s:alignment horizontal="left" vertical="top" wrapText="0" vyd:clipText="0" mc:Ignorable="vyd"/>
    </s:xf>
    <s:xf numFmtId="168" fontId="1" fillId="3" borderId="2" applyNumberFormat="1" applyFont="1" applyFill="1" applyBorder="1" applyAlignment="1">
      <s:alignment horizontal="left" vertical="top" wrapText="0" vyd:clipText="0" mc:Ignorable="vyd"/>
    </s:xf>
    <s:xf numFmtId="168" fontId="1" borderId="2" applyNumberFormat="1" applyFont="1" applyBorder="1" applyAlignment="1">
      <s:alignment horizontal="left" vertical="top" wrapText="0" vyd:clipText="0" mc:Ignorable="vyd"/>
    </s:xf>
    <s:xf numFmtId="168" fontId="1" fillId="2" borderId="2" applyNumberFormat="1" applyFont="1" applyFill="1" applyBorder="1" applyAlignment="1">
      <s:alignment horizontal="left" vertical="top" wrapText="0" vyd:clipText="0" mc:Ignorable="vyd"/>
    </s:xf>
    <s:xf numFmtId="0" fontId="1" fillId="5" borderId="3" applyNumberFormat="1" applyFont="1" applyFill="1" applyBorder="1" applyAlignment="1">
      <s:alignment horizontal="left" wrapText="1" vyd:clipText="0" mc:Ignorable="vyd"/>
    </s:xf>
    <s:xf fontId="2" fillId="2" applyFont="1" applyFill="1"/>
    <s:xf fontId="2" fillId="2" borderId="2" applyFont="1" applyFill="1" applyBorder="1" applyAlignment="1">
      <s:alignment horizontal="left" vertical="top" wrapText="0" vyd:clipText="0" mc:Ignorable="vyd"/>
    </s:xf>
    <s:xf numFmtId="168" fontId="2" fillId="2" borderId="2" applyNumberFormat="1" applyFont="1" applyFill="1" applyBorder="1" applyAlignment="1">
      <s:alignment horizontal="left" vertical="top" wrapText="0" vyd:clipText="0" mc:Ignorable="vyd"/>
    </s:xf>
    <s:xf fontId="1" fillId="4" applyFont="1" applyFill="1"/>
    <s:xf fontId="1" fillId="4" borderId="1" applyFont="1" applyFill="1" applyBorder="1" applyAlignment="1">
      <s:alignment horizontal="left" wrapText="0" vyd:clipText="1" mc:Ignorable="vyd"/>
    </s:xf>
    <s:xf numFmtId="168" fontId="1" fillId="4" borderId="1" applyNumberFormat="1" applyFont="1" applyFill="1" applyBorder="1" applyAlignment="1">
      <s:alignment horizontal="left" wrapText="0" vyd:clipText="1" mc:Ignorable="vyd"/>
    </s:xf>
    <s:xf numFmtId="166" applyNumberFormat="1" applyAlignment="1">
      <s:alignment horizontal="right" vertical="top" wrapText="1" vyd:clipText="0" mc:Ignorable="vyd"/>
    </s:xf>
    <s:xf numFmtId="168" applyNumberFormat="1" applyAlignment="1">
      <s:alignment horizontal="right" vertical="top" wrapText="1" vyd:clipText="0" mc:Ignorable="vyd"/>
    </s:xf>
    <s:xf numFmtId="168" fillId="2" applyNumberFormat="1" applyFill="1" applyAlignment="1">
      <s:alignment horizontal="right" vertical="top" wrapText="1" vyd:clipText="0" mc:Ignorable="vyd"/>
    </s:xf>
    <s:xf numFmtId="165" applyNumberFormat="1" applyAlignment="1">
      <s:alignment horizontal="right" vertical="top" mc:Ignorable="vyd"/>
    </s:xf>
    <s:xf numFmtId="165" fontId="1" applyNumberFormat="1" applyFont="1" applyAlignment="1">
      <s:alignment horizontal="right" vertical="top" mc:Ignorable="vyd"/>
    </s:xf>
    <s:xf numFmtId="168" fontId="1" fillId="0" applyNumberFormat="1" applyFont="1" applyFill="1" applyAlignment="1">
      <s:alignment horizontal="right" vertical="top" wrapText="1" vyd:clipText="0" mc:Ignorable="vyd"/>
    </s:xf>
    <s:xf numFmtId="168" fontId="1" applyNumberFormat="1" applyFont="1" applyAlignment="1">
      <s:alignment horizontal="right" vertical="top" wrapText="1" vyd:clipText="0" mc:Ignorable="vyd"/>
    </s:xf>
    <s:xf numFmtId="164" fontId="2" applyNumberFormat="1" applyFont="1" applyAlignment="1">
      <s:alignment horizontal="left" vertical="top" mc:Ignorable="vyd"/>
    </s:xf>
    <s:xf fontId="2" applyFont="1" applyAlignment="1">
      <s:alignment horizontal="left" vertical="top" mc:Ignorable="vyd"/>
    </s:xf>
    <s:xf numFmtId="165" fontId="2" applyNumberFormat="1" applyFont="1" applyAlignment="1">
      <s:alignment horizontal="right" vertical="top" mc:Ignorable="vyd"/>
    </s:xf>
    <s:xf fontId="2" applyFont="1" applyAlignment="1">
      <s:alignment horizontal="left" vertical="top" wrapText="1" vyd:clipText="0" mc:Ignorable="vyd"/>
    </s:xf>
    <s:xf fontId="2" applyFont="1" applyAlignment="1">
      <s:alignment vertical="top" wrapText="1" vyd:clipText="0" mc:Ignorable="vyd"/>
    </s:xf>
    <s:xf fontId="10" fillId="3" applyFont="1" applyFill="1" applyAlignment="1">
      <s:alignment horizontal="left" wrapText="0" vyd:clipText="0" mc:Ignorable="vyd"/>
    </s:xf>
    <s:xf borderId="6" applyBorder="1" applyAlignment="1">
      <s:alignment horizontal="left" mc:Ignorable="vyd"/>
    </s:xf>
    <s:xf numFmtId="169" borderId="5" applyNumberFormat="1" applyBorder="1"/>
    <s:xf numFmtId="168" fontId="2" fillId="3" borderId="2" applyNumberFormat="1" applyFont="1" applyFill="1" applyBorder="1" applyAlignment="1">
      <s:alignment horizontal="left" vertical="top" wrapText="0" vyd:clipText="0" mc:Ignorable="vyd"/>
    </s:xf>
    <s:xf numFmtId="164" fillId="0" borderId="2" applyNumberFormat="1" applyFill="1" applyBorder="1" applyAlignment="1">
      <s:alignment horizontal="left" vertical="top" wrapText="0" vyd:clipText="0" mc:Ignorable="vyd"/>
    </s:xf>
    <s:xf numFmtId="168" fontId="1" fillId="0" borderId="2" applyNumberFormat="1" applyFont="1" applyFill="1" applyBorder="1" applyAlignment="1">
      <s:alignment horizontal="left" vertical="top" wrapText="0" vyd:clipText="0" mc:Ignorable="vyd"/>
    </s:xf>
    <s:xf fillId="0" borderId="2" applyFill="1" applyBorder="1" applyAlignment="1">
      <s:alignment horizontal="left" vertical="top" wrapText="0" vyd:clipText="0" mc:Ignorable="vyd"/>
    </s:xf>
    <s:xf numFmtId="164" fontId="1" fillId="0" borderId="2" applyNumberFormat="1" applyFont="1" applyFill="1" applyBorder="1" applyAlignment="1">
      <s:alignment horizontal="left" vertical="top" wrapText="0" vyd:clipText="0" mc:Ignorable="vyd"/>
    </s:xf>
    <s:xf fontId="1" fillId="0" borderId="2" applyFont="1" applyFill="1" applyBorder="1" applyAlignment="1">
      <s:alignment horizontal="left" vertical="top" wrapText="0" vyd:clipText="0" mc:Ignorable="vyd"/>
    </s:xf>
    <s:xf numFmtId="164" fontId="2" fillId="0" borderId="2" applyNumberFormat="1" applyFont="1" applyFill="1" applyBorder="1" applyAlignment="1">
      <s:alignment horizontal="left" vertical="top" wrapText="0" vyd:clipText="0" mc:Ignorable="vyd"/>
    </s:xf>
    <s:xf fontId="2" fillId="0" applyFont="1" applyFill="1" applyAlignment="1">
      <s:alignment horizontal="left" vertical="top" wrapText="1" vyd:clipText="0" mc:Ignorable="vyd"/>
    </s:xf>
    <s:xf numFmtId="168" fontId="2" fillId="0" borderId="2" applyNumberFormat="1" applyFont="1" applyFill="1" applyBorder="1" applyAlignment="1">
      <s:alignment horizontal="left" vertical="top" wrapText="0" vyd:clipText="0" mc:Ignorable="vyd"/>
    </s:xf>
    <s:xf fontId="2" fillId="0" borderId="2" applyFont="1" applyFill="1" applyBorder="1" applyAlignment="1">
      <s:alignment horizontal="left" vertical="top" wrapText="0" vyd:clipText="0" mc:Ignorable="vyd"/>
    </s:xf>
    <s:xf fontId="11" applyFont="1" applyAlignment="1">
      <s:alignment horizontal="left" vertical="top" wrapText="1" vyd:clipText="0" mc:Ignorable="vyd"/>
    </s:xf>
    <s:xf fontId="12" applyFont="1" applyAlignment="1">
      <s:alignment horizontal="left" vertical="top" wrapText="1" vyd:clipText="0" mc:Ignorable="vyd"/>
    </s:xf>
    <s:xf fontId="1" fillId="2" borderId="7" applyFont="1" applyFill="1" applyBorder="1" applyAlignment="1">
      <s:alignment horizontal="left" vertical="top" wrapText="0" vyd:clipText="0" mc:Ignorable="vyd"/>
    </s:xf>
    <s:xf numFmtId="168" fontId="1" fillId="2" borderId="7" applyNumberFormat="1" applyFont="1" applyFill="1" applyBorder="1" applyAlignment="1">
      <s:alignment horizontal="left" vertical="top" wrapText="0" vyd:clipText="0" mc:Ignorable="vyd"/>
    </s:xf>
    <s:xf numFmtId="168" borderId="4" applyNumberFormat="1" applyBorder="1" applyAlignment="1">
      <s:alignment horizontal="left" vertical="top" wrapText="0" vyd:clipText="0" mc:Ignorable="vyd"/>
    </s:xf>
    <s:xf numFmtId="168" fillId="3" borderId="4" applyNumberFormat="1" applyFill="1" applyBorder="1" applyAlignment="1">
      <s:alignment horizontal="left" vertical="top" wrapText="0" vyd:clipText="0" mc:Ignorable="vyd"/>
    </s:xf>
    <s:xf fontId="2" borderId="4" applyFont="1" applyBorder="1" applyAlignment="1">
      <s:alignment horizontal="left" vertical="top" wrapText="1" vyd:clipText="0" mc:Ignorable="vyd"/>
    </s:xf>
    <s:xf numFmtId="168" fontId="2" fillId="3" borderId="4" applyNumberFormat="1" applyFont="1" applyFill="1" applyBorder="1" applyAlignment="1">
      <s:alignment horizontal="left" vertical="top" wrapText="0" vyd:clipText="0" mc:Ignorable="vyd"/>
    </s:xf>
    <s:xf numFmtId="168" fontId="1" fillId="3" borderId="4" applyNumberFormat="1" applyFont="1" applyFill="1" applyBorder="1" applyAlignment="1">
      <s:alignment horizontal="left" vertical="top" wrapText="0" vyd:clipText="0" mc:Ignorable="vyd"/>
    </s:xf>
    <s:xf numFmtId="164" fontId="2" fillId="0" borderId="4" applyNumberFormat="1" applyFont="1" applyFill="1" applyBorder="1" applyAlignment="1">
      <s:alignment horizontal="left" vertical="top" wrapText="0" vyd:clipText="0" mc:Ignorable="vyd"/>
    </s:xf>
    <s:xf fontId="2" fillId="0" borderId="4" applyFont="1" applyFill="1" applyBorder="1" applyAlignment="1">
      <s:alignment horizontal="left" vertical="top" wrapText="1" vyd:clipText="0" mc:Ignorable="vyd"/>
    </s:xf>
    <s:xf numFmtId="168" fontId="2" fillId="0" borderId="4" applyNumberFormat="1" applyFont="1" applyFill="1" applyBorder="1" applyAlignment="1">
      <s:alignment horizontal="left" vertical="top" wrapText="0" vyd:clipText="0" mc:Ignorable="vyd"/>
    </s:xf>
    <s:xf fontId="2" fillId="0" borderId="4" applyFont="1" applyFill="1" applyBorder="1" applyAlignment="1">
      <s:alignment horizontal="left" vertical="top" wrapText="0" vyd:clipText="0" mc:Ignorable="vyd"/>
    </s:xf>
    <s:xf numFmtId="164" fontId="2" borderId="4" applyNumberFormat="1" applyFont="1" applyBorder="1" applyAlignment="1">
      <s:alignment horizontal="left" vertical="top" wrapText="0" vyd:clipText="0" mc:Ignorable="vyd"/>
    </s:xf>
    <s:xf fontId="2" fillId="3" borderId="4" applyFont="1" applyFill="1" applyBorder="1" applyAlignment="1">
      <s:alignment horizontal="left" vertical="top" wrapText="0" vyd:clipText="0" mc:Ignorable="vyd"/>
    </s:xf>
    <s:xf fontId="1" fillId="2" borderId="8" applyFont="1" applyFill="1" applyBorder="1" applyAlignment="1">
      <s:alignment horizontal="left" vertical="top" wrapText="0" vyd:clipText="0" mc:Ignorable="vyd"/>
    </s:xf>
    <s:xf numFmtId="168" fillId="2" borderId="8" applyNumberFormat="1" applyFill="1" applyBorder="1" applyAlignment="1">
      <s:alignment horizontal="left" vertical="top" wrapText="0" vyd:clipText="0" mc:Ignorable="vyd"/>
    </s:xf>
    <s:xf numFmtId="168" fontId="1" fillId="2" borderId="8" applyNumberFormat="1" applyFont="1" applyFill="1" applyBorder="1" applyAlignment="1">
      <s:alignment horizontal="left" vertical="top" wrapText="0" vyd:clipText="0" mc:Ignorable="vyd"/>
    </s:xf>
    <s:xf fontId="1" borderId="4" applyFont="1" applyBorder="1" applyAlignment="1">
      <s:alignment horizontal="left" vertical="top" wrapText="1" vyd:clipText="0" mc:Ignorable="vyd"/>
    </s:xf>
    <s:xf fontId="1" fillId="0" borderId="4" applyFont="1" applyFill="1" applyBorder="1" applyAlignment="1">
      <s:alignment horizontal="left" vertical="top" wrapText="1" vyd:clipText="0" mc:Ignorable="vyd"/>
    </s:xf>
    <s:xf numFmtId="168" fontId="1" fillId="0" borderId="4" applyNumberFormat="1" applyFont="1" applyFill="1" applyBorder="1" applyAlignment="1">
      <s:alignment horizontal="left" vertical="top" wrapText="0" vyd:clipText="0" mc:Ignorable="vyd"/>
    </s:xf>
    <s:xf numFmtId="49" applyNumberFormat="1" applyAlignment="1">
      <s:alignment vertical="top" wrapText="1" vyd:clipText="0" mc:Ignorable="vyd"/>
    </s:xf>
    <s:xf numFmtId="49" applyNumberFormat="1" applyAlignment="1">
      <s:alignment horizontal="left" vertical="top" wrapText="1" vyd:clipText="0" mc:Ignorable="vyd"/>
    </s:xf>
    <s:xf numFmtId="49" fontId="0" fillId="0" borderId="0" xfId="0" applyNumberFormat="1" applyAlignment="1">
      <s:alignment vertical="top" wrapText="1" vyd:clipText="0" mc:Ignorable="vyd"/>
    </s:xf>
    <s:xf numFmtId="49" fillId="2" applyNumberFormat="1" applyFill="1" applyAlignment="1">
      <s:alignment horizontal="left" vertical="top" wrapText="1" vyd:clipText="0" mc:Ignorable="vyd"/>
    </s:xf>
    <s:xf numFmtId="49" applyNumberFormat="1" applyAlignment="1">
      <s:alignment horizontal="left" vertical="top" mc:Ignorable="vyd"/>
    </s:xf>
    <s:xf numFmtId="49" fontId="2" applyNumberFormat="1" applyFont="1" applyAlignment="1">
      <s:alignment horizontal="left" vertical="top" mc:Ignorable="vyd"/>
    </s:xf>
    <s:xf numFmtId="49" fontId="1" fillId="0" applyNumberFormat="1" applyFont="1" applyFill="1" applyAlignment="1">
      <s:alignment horizontal="left" vertical="top" wrapText="1" vyd:clipText="0" mc:Ignorable="vyd"/>
    </s:xf>
    <s:xf numFmtId="49" fontId="1" applyNumberFormat="1" applyFont="1" applyAlignment="1">
      <s:alignment horizontal="left" vertical="top" wrapText="1" vyd:clipText="0" mc:Ignorable="vyd"/>
    </s:xf>
    <s:xf fontId="2" fillId="2" borderId="8" applyFont="1" applyFill="1" applyBorder="1" applyAlignment="1">
      <s:alignment horizontal="left" vertical="top" wrapText="0" vyd:clipText="0" mc:Ignorable="vyd"/>
    </s:xf>
    <s:xf numFmtId="168" fontId="2" fillId="2" borderId="8" applyNumberFormat="1" applyFont="1" applyFill="1" applyBorder="1" applyAlignment="1">
      <s:alignment horizontal="left" vertical="top" wrapText="0" vyd:clipText="0" mc:Ignorable="vyd"/>
    </s:xf>
    <s:xf borderId="3" applyBorder="1"/>
    <s:xf numFmtId="166" borderId="3" applyNumberFormat="1" applyBorder="1"/>
    <s:xf borderId="9" applyBorder="1"/>
    <s:xf borderId="10" applyBorder="1"/>
    <s:xf fontId="1" borderId="9" applyFont="1" applyBorder="1" applyAlignment="1">
      <s:alignment horizontal="left" vertical="top" wrapText="0" vyd:clipText="0" mc:Ignorable="vyd"/>
    </s:xf>
    <s:xf numFmtId="169" fontId="1" borderId="9" applyNumberFormat="1" applyFont="1" applyBorder="1" applyAlignment="1">
      <s:alignment horizontal="left" vertical="top" wrapText="0" vyd:clipText="0" mc:Ignorable="vyd"/>
    </s:xf>
    <s:xf fontId="1" fillId="3" borderId="10" applyFont="1" applyFill="1" applyBorder="1" applyAlignment="1">
      <s:alignment horizontal="left" vertical="top" wrapText="0" vyd:clipText="0" mc:Ignorable="vyd"/>
    </s:xf>
    <s:xf numFmtId="169" fontId="1" fillId="3" borderId="10" applyNumberFormat="1" applyFont="1" applyFill="1" applyBorder="1" applyAlignment="1">
      <s:alignment horizontal="left" vertical="top" wrapText="0" vyd:clipText="0" mc:Ignorable="vyd"/>
    </s:xf>
    <s:xf fillId="3" borderId="10" applyFill="1" applyBorder="1" applyAlignment="1">
      <s:alignment horizontal="left" vertical="top" wrapText="0" vyd:clipText="0" mc:Ignorable="vyd"/>
    </s:xf>
    <s:xf fontId="1" fillId="4" borderId="1" applyFont="1" applyFill="1" applyBorder="1" applyAlignment="1">
      <s:alignment horizontal="left" wrapText="1" vyd:clipText="0" mc:Ignorable="vyd"/>
    </s:xf>
    <s:xf fontId="1" fillId="2" borderId="2" applyFont="1" applyFill="1" applyBorder="1" applyAlignment="1">
      <s:alignment horizontal="left" vertical="top" wrapText="1" vyd:clipText="0" mc:Ignorable="vyd"/>
    </s:xf>
    <s:xf fillId="3" borderId="2" applyFill="1" applyBorder="1" applyAlignment="1">
      <s:alignment horizontal="left" vertical="top" wrapText="1" vyd:clipText="0" mc:Ignorable="vyd"/>
    </s:xf>
    <s:xf borderId="2" applyBorder="1" applyAlignment="1">
      <s:alignment horizontal="left" vertical="top" wrapText="1" vyd:clipText="0" mc:Ignorable="vyd"/>
    </s:xf>
    <s:xf fontId="1" fillId="3" borderId="2" applyFont="1" applyFill="1" applyBorder="1" applyAlignment="1">
      <s:alignment horizontal="left" vertical="top" wrapText="1" vyd:clipText="0" mc:Ignorable="vyd"/>
    </s:xf>
    <s:xf fontId="1" fillId="2" borderId="7" applyFont="1" applyFill="1" applyBorder="1" applyAlignment="1">
      <s:alignment horizontal="left" vertical="top" wrapText="1" vyd:clipText="0" mc:Ignorable="vyd"/>
    </s:xf>
    <s:xf borderId="4" applyBorder="1" applyAlignment="1">
      <s:alignment horizontal="left" vertical="top" wrapText="1" vyd:clipText="0" mc:Ignorable="vyd"/>
    </s:xf>
    <s:xf fillId="3" borderId="4" applyFill="1" applyBorder="1" applyAlignment="1">
      <s:alignment horizontal="left" vertical="top" wrapText="1" vyd:clipText="0" mc:Ignorable="vyd"/>
    </s:xf>
    <s:xf fontId="2" fillId="3" borderId="4" applyFont="1" applyFill="1" applyBorder="1" applyAlignment="1">
      <s:alignment horizontal="left" vertical="top" wrapText="1" vyd:clipText="0" mc:Ignorable="vyd"/>
    </s:xf>
    <s:xf fontId="1" fillId="3" borderId="4" applyFont="1" applyFill="1" applyBorder="1" applyAlignment="1">
      <s:alignment horizontal="left" vertical="top" wrapText="1" vyd:clipText="0" mc:Ignorable="vyd"/>
    </s:xf>
    <s:xf fontId="1" fillId="2" borderId="8" applyFont="1" applyFill="1" applyBorder="1" applyAlignment="1">
      <s:alignment horizontal="left" vertical="top" wrapText="1" vyd:clipText="0" mc:Ignorable="vyd"/>
    </s:xf>
    <s:xf fontId="1" borderId="2" applyFont="1" applyBorder="1" applyAlignment="1">
      <s:alignment horizontal="left" vertical="top" wrapText="1" vyd:clipText="0" mc:Ignorable="vyd"/>
    </s:xf>
    <s:xf fontId="1" borderId="9" applyFont="1" applyBorder="1" applyAlignment="1">
      <s:alignment horizontal="left" vertical="top" wrapText="1" vyd:clipText="0" mc:Ignorable="vyd"/>
    </s:xf>
    <s:xf fontId="1" fillId="3" borderId="3" applyFont="1" applyFill="1" applyBorder="1" applyAlignment="1">
      <s:alignment horizontal="left" vertical="top" wrapText="1" vyd:clipText="0" mc:Ignorable="vyd"/>
    </s:xf>
    <s:xf fontId="1" borderId="3" applyFont="1" applyBorder="1" applyAlignment="1">
      <s:alignment horizontal="left" vertical="top" wrapText="1" vyd:clipText="0" mc:Ignorable="vyd"/>
    </s:xf>
    <s:xf fontId="1" fillId="3" borderId="10" applyFont="1" applyFill="1" applyBorder="1" applyAlignment="1">
      <s:alignment horizontal="left" vertical="top" wrapText="1" vyd:clipText="0" mc:Ignorable="vyd"/>
    </s:xf>
    <s:xf borderId="3" applyBorder="1" applyAlignment="1">
      <s:alignment wrapText="1" vyd:clipText="0" mc:Ignorable="vyd"/>
    </s:xf>
    <s:xf fillId="5" borderId="9" applyFill="1" applyBorder="1"/>
    <s:xf fontId="1" fillId="5" borderId="9" applyFont="1" applyFill="1" applyBorder="1" applyAlignment="1">
      <s:alignment horizontal="left" vertical="top" wrapText="1" vyd:clipText="0" mc:Ignorable="vyd"/>
    </s:xf>
    <s:xf numFmtId="169" fontId="1" fillId="5" borderId="9" applyNumberFormat="1" applyFont="1" applyFill="1" applyBorder="1" applyAlignment="1">
      <s:alignment horizontal="left" vertical="top" wrapText="0" vyd:clipText="0" mc:Ignorable="vyd"/>
    </s:xf>
    <s:xf fillId="10" borderId="10" applyFill="1" applyBorder="1"/>
    <s:xf fontId="1" fillId="10" borderId="10" applyFont="1" applyFill="1" applyBorder="1" applyAlignment="1">
      <s:alignment horizontal="left" vertical="top" wrapText="1" vyd:clipText="0" mc:Ignorable="vyd"/>
    </s:xf>
    <s:xf numFmtId="169" fontId="1" fillId="10" borderId="10" applyNumberFormat="1" applyFont="1" applyFill="1" applyBorder="1" applyAlignment="1">
      <s:alignment horizontal="left" vertical="top" wrapText="0" vyd:clipText="0" mc:Ignorable="vyd"/>
    </s:xf>
    <s:xf fillId="10" borderId="10" applyFill="1" applyBorder="1" applyAlignment="1">
      <s:alignment horizontal="left" vertical="top" wrapText="0" vyd:clipText="0" mc:Ignorable="vyd"/>
    </s:xf>
    <s:xf fontId="1" applyFont="1" applyAlignment="1">
      <s:alignment vertical="top" wrapText="1" vyd:clipText="0" mc:Ignorable="vyd"/>
    </s:xf>
    <s:xf numFmtId="49" fontId="1" fillId="4" applyNumberFormat="1" applyFont="1" applyFill="1" applyAlignment="1">
      <s:alignment horizontal="left" vertical="top" wrapText="1" vyd:clipText="0" mc:Ignorable="vyd"/>
    </s:xf>
    <s:xf fontId="1" fillId="4" applyFont="1" applyFill="1" applyAlignment="1">
      <s:alignment horizontal="left" vertical="top" wrapText="1" vyd:clipText="0" mc:Ignorable="vyd"/>
    </s:xf>
    <s:xf numFmtId="168" fontId="1" fillId="4" applyNumberFormat="1" applyFont="1" applyFill="1" applyAlignment="1">
      <s:alignment horizontal="right" vertical="top" wrapText="1" vyd:clipText="0" mc:Ignorable="vyd"/>
    </s:xf>
    <s:xf fontId="1" fillId="4" applyFont="1" applyFill="1" applyAlignment="1">
      <s:alignment vertical="top" wrapText="1" vyd:clipText="0" mc:Ignorable="vyd"/>
    </s:xf>
    <s:xf fillId="11" borderId="2" applyFill="1" applyBorder="1" applyAlignment="1">
      <s:alignment horizontal="left" vertical="top" mc:Ignorable="vyd"/>
    </s:xf>
    <s:xf fillId="3" borderId="2" applyFill="1" applyBorder="1" applyAlignment="1">
      <s:alignment horizontal="left" vertical="top" mc:Ignorable="vyd"/>
    </s:xf>
    <s:xf borderId="2" applyBorder="1" applyAlignment="1">
      <s:alignment horizontal="left" vertical="top" mc:Ignorable="vyd"/>
    </s:xf>
    <s:xf fillId="11" borderId="3" applyFill="1" applyBorder="1" applyAlignment="1">
      <s:alignment horizontal="left" vertical="top" mc:Ignorable="vyd"/>
    </s:xf>
    <s:xf fillId="3" borderId="3" applyFill="1" applyBorder="1" applyAlignment="1">
      <s:alignment horizontal="left" vertical="top" mc:Ignorable="vyd"/>
    </s:xf>
    <s:xf borderId="3" applyBorder="1" applyAlignment="1">
      <s:alignment horizontal="left" vertical="top" mc:Ignorable="vyd"/>
    </s:xf>
    <s:xf numFmtId="49" applyNumberFormat="1"/>
    <s:xf numFmtId="49" fontId="1" fillId="5" borderId="3" applyNumberFormat="1" applyFont="1" applyFill="1" applyBorder="1" applyAlignment="1">
      <s:alignment horizontal="left" wrapText="0" vyd:clipText="1" mc:Ignorable="vyd"/>
    </s:xf>
    <s:xf numFmtId="49" fillId="0" borderId="3" applyNumberFormat="1" applyFill="1" applyBorder="1" applyAlignment="1">
      <s:alignment horizontal="left" wrapText="0" vyd:clipText="1" mc:Ignorable="vyd"/>
    </s:xf>
    <s:xf numFmtId="49" fontId="1" fillId="4" borderId="1" applyNumberFormat="1" applyFont="1" applyFill="1" applyBorder="1" applyAlignment="1">
      <s:alignment horizontal="left" wrapText="0" vyd:clipText="1" mc:Ignorable="vyd"/>
    </s:xf>
    <s:xf numFmtId="49" fontId="1" fillId="2" borderId="2" applyNumberFormat="1" applyFont="1" applyFill="1" applyBorder="1" applyAlignment="1">
      <s:alignment horizontal="left" vertical="top" wrapText="0" vyd:clipText="0" mc:Ignorable="vyd"/>
    </s:xf>
    <s:xf numFmtId="49" fillId="3" borderId="2" applyNumberFormat="1" applyFill="1" applyBorder="1" applyAlignment="1">
      <s:alignment horizontal="left" vertical="top" wrapText="0" vyd:clipText="0" mc:Ignorable="vyd"/>
    </s:xf>
    <s:xf numFmtId="49" borderId="2" applyNumberFormat="1" applyBorder="1" applyAlignment="1">
      <s:alignment horizontal="left" vertical="top" wrapText="0" vyd:clipText="0" mc:Ignorable="vyd"/>
    </s:xf>
    <s:xf numFmtId="49" fontId="1" fillId="3" borderId="2" applyNumberFormat="1" applyFont="1" applyFill="1" applyBorder="1" applyAlignment="1">
      <s:alignment horizontal="left" vertical="top" wrapText="0" vyd:clipText="0" mc:Ignorable="vyd"/>
    </s:xf>
    <s:xf numFmtId="49" fontId="1" fillId="2" borderId="7" applyNumberFormat="1" applyFont="1" applyFill="1" applyBorder="1" applyAlignment="1">
      <s:alignment horizontal="left" vertical="top" wrapText="0" vyd:clipText="0" mc:Ignorable="vyd"/>
    </s:xf>
    <s:xf numFmtId="49" borderId="4" applyNumberFormat="1" applyBorder="1" applyAlignment="1">
      <s:alignment horizontal="left" vertical="top" wrapText="0" vyd:clipText="0" mc:Ignorable="vyd"/>
    </s:xf>
    <s:xf numFmtId="49" fillId="3" borderId="4" applyNumberFormat="1" applyFill="1" applyBorder="1" applyAlignment="1">
      <s:alignment horizontal="left" vertical="top" wrapText="0" vyd:clipText="0" mc:Ignorable="vyd"/>
    </s:xf>
    <s:xf numFmtId="49" fontId="2" fillId="0" borderId="4" applyNumberFormat="1" applyFont="1" applyFill="1" applyBorder="1" applyAlignment="1">
      <s:alignment horizontal="left" vertical="top" wrapText="0" vyd:clipText="0" mc:Ignorable="vyd"/>
    </s:xf>
    <s:xf numFmtId="49" fontId="2" borderId="4" applyNumberFormat="1" applyFont="1" applyBorder="1" applyAlignment="1">
      <s:alignment horizontal="left" vertical="top" wrapText="0" vyd:clipText="0" mc:Ignorable="vyd"/>
    </s:xf>
    <s:xf numFmtId="49" fontId="1" fillId="2" borderId="8" applyNumberFormat="1" applyFont="1" applyFill="1" applyBorder="1" applyAlignment="1">
      <s:alignment horizontal="left" vertical="top" wrapText="0" vyd:clipText="0" mc:Ignorable="vyd"/>
    </s:xf>
    <s:xf numFmtId="49" fontId="1" borderId="2" applyNumberFormat="1" applyFont="1" applyBorder="1" applyAlignment="1">
      <s:alignment horizontal="left" vertical="top" wrapText="0" vyd:clipText="0" mc:Ignorable="vyd"/>
    </s:xf>
    <s:xf numFmtId="49" fillId="5" borderId="9" applyNumberFormat="1" applyFill="1" applyBorder="1"/>
    <s:xf numFmtId="49" borderId="3" applyNumberFormat="1" applyBorder="1"/>
    <s:xf numFmtId="49" fillId="10" borderId="10" applyNumberFormat="1" applyFill="1" applyBorder="1"/>
    <s:xf numFmtId="49" fontId="1" borderId="4" applyNumberFormat="1" applyFont="1" applyBorder="1" applyAlignment="1">
      <s:alignment horizontal="left" vertical="top" wrapText="0" vyd:clipText="0" mc:Ignorable="vyd"/>
    </s:xf>
    <s:xf numFmtId="49" fontId="1" fillId="0" borderId="4" applyNumberFormat="1" applyFont="1" applyFill="1" applyBorder="1" applyAlignment="1">
      <s:alignment horizontal="left" vertical="top" wrapText="0" vyd:clipText="0" mc:Ignorable="vyd"/>
    </s:xf>
    <s:xf numFmtId="49" fontId="1" fillId="3" borderId="4" applyNumberFormat="1" applyFont="1" applyFill="1" applyBorder="1" applyAlignment="1">
      <s:alignment horizontal="left" vertical="top" wrapText="0" vyd:clipText="0" mc:Ignorable="vyd"/>
    </s:xf>
    <s:xf numFmtId="49" fontId="2" fillId="3" borderId="4" applyNumberFormat="1" applyFont="1" applyFill="1" applyBorder="1" applyAlignment="1">
      <s:alignment horizontal="left" vertical="top" wrapText="0" vyd:clipText="0" mc:Ignorable="vyd"/>
    </s:xf>
    <s:xf fontId="1" fillId="0" applyFont="1" applyFill="1" applyAlignment="1">
      <s:alignment vertical="top" wrapText="1" vyd:clipText="0" mc:Ignorable="vyd"/>
    </s:xf>
    <s:xf applyAlignment="1">
      <s:alignment vertical="top" wrapText="0" vyd:clipText="0" mc:Ignorable="vyd"/>
    </s:xf>
    <s:xf fontId="1" fillId="0" applyFont="1" applyFill="1" applyAlignment="1">
      <s:alignment horizontal="left" vertical="top" wrapText="0" vyd:clipText="0" mc:Ignorable="vyd"/>
    </s:xf>
    <s:xf fontId="1" fillId="4" applyFont="1" applyFill="1" applyAlignment="1">
      <s:alignment horizontal="left" vertical="top" wrapText="0" vyd:clipText="0" mc:Ignorable="vyd"/>
    </s:xf>
    <s:xf applyAlignment="1">
      <s:alignment horizontal="left" vertical="top" wrapText="0" vyd:clipText="0" mc:Ignorable="vyd"/>
    </s:xf>
    <s:xf fillId="2" applyFill="1" applyAlignment="1">
      <s:alignment horizontal="left" vertical="top" wrapText="0" vyd:clipText="0" mc:Ignorable="vyd"/>
    </s:xf>
    <s:xf fontId="2" applyFont="1" applyAlignment="1">
      <s:alignment horizontal="left" vertical="top" wrapText="0" vyd:clipText="0" mc:Ignorable="vyd"/>
    </s:xf>
    <s:xf numFmtId="165" fillId="0" applyNumberFormat="1" applyFill="1" applyAlignment="1">
      <s:alignment horizontal="left" vertical="top" wrapText="0" vyd:clipText="0" mc:Ignorable="vyd"/>
    </s:xf>
    <s:xf numFmtId="165" fontId="1" fillId="0" applyNumberFormat="1" applyFont="1" applyFill="1" applyAlignment="1">
      <s:alignment horizontal="left" vertical="top" wrapText="0" vyd:clipText="0" mc:Ignorable="vyd"/>
    </s:xf>
    <s:xf numFmtId="165" applyNumberFormat="1" applyAlignment="1">
      <s:alignment horizontal="left" vertical="top" wrapText="0" vyd:clipText="0" mc:Ignorable="vyd"/>
    </s:xf>
    <s:xf numFmtId="49" applyNumberFormat="1" applyAlignment="1">
      <s:alignment horizontal="right" vertical="top" wrapText="1" vyd:clipText="0" mc:Ignorable="vyd"/>
    </s:xf>
    <s:xf numFmtId="2" applyNumberFormat="1" applyAlignment="1">
      <s:alignment horizontal="right" vertical="top" wrapText="1" vyd:clipText="0" mc:Ignorable="vyd"/>
    </s:xf>
    <s:xf numFmtId="172" applyNumberFormat="1" applyAlignment="1">
      <s:alignment horizontal="right" vertical="top" wrapText="1" vyd:clipText="0" mc:Ignorable="vyd"/>
    </s:xf>
    <s:xf numFmtId="1" applyNumberFormat="1" applyAlignment="1">
      <s:alignment horizontal="right" vertical="top" wrapText="1" vyd:clipText="0" mc:Ignorable="vyd"/>
    </s:xf>
    <s:xf numFmtId="2" applyNumberFormat="1" applyAlignment="1">
      <s:alignment horizontal="right" vertical="top" mc:Ignorable="vyd"/>
    </s:xf>
    <s:xf numFmtId="172" applyNumberFormat="1" applyAlignment="1">
      <s:alignment horizontal="right" vertical="top" mc:Ignorable="vyd"/>
    </s:xf>
    <s:xf numFmtId="1" applyNumberFormat="1" applyAlignment="1">
      <s:alignment horizontal="right" vertical="top" mc:Ignorable="vyd"/>
    </s:xf>
    <s:xf numFmtId="2" fontId="0" fillId="0" borderId="0" xfId="0" applyNumberFormat="1"/>
    <s:xf numFmtId="172" fontId="0" fillId="0" borderId="0" xfId="0" applyNumberFormat="1"/>
    <s:xf numFmtId="1" fontId="0" fillId="0" borderId="0" xfId="0" applyNumberFormat="1"/>
    <s:xf numFmtId="168" fontId="1" fillId="4" applyNumberFormat="1" applyFont="1" applyFill="1" applyAlignment="1">
      <s:alignment horizontal="center" vertical="top" wrapText="1" vyd:clipText="0" mc:Ignorable="vyd"/>
    </s:xf>
    <s:xf numFmtId="2" fontId="1" fillId="0" applyNumberFormat="1" applyFont="1" applyFill="1" applyAlignment="1">
      <s:alignment horizontal="right" vertical="top" wrapText="1" vyd:clipText="0" mc:Ignorable="vyd"/>
    </s:xf>
    <s:xf numFmtId="2" fontId="1" fillId="4" applyNumberFormat="1" applyFont="1" applyFill="1" applyAlignment="1">
      <s:alignment horizontal="center" vertical="top" wrapText="1" vyd:clipText="0" mc:Ignorable="vyd"/>
    </s:xf>
    <s:xf numFmtId="2" fillId="2" applyNumberFormat="1" applyFill="1" applyAlignment="1">
      <s:alignment horizontal="right" vertical="top" wrapText="1" vyd:clipText="0" mc:Ignorable="vyd"/>
    </s:xf>
    <s:xf numFmtId="2" fontId="2" applyNumberFormat="1" applyFont="1" applyAlignment="1">
      <s:alignment horizontal="right" vertical="top" mc:Ignorable="vyd"/>
    </s:xf>
    <s:xf numFmtId="2" fontId="1" applyNumberFormat="1" applyFont="1" applyAlignment="1">
      <s:alignment horizontal="right" vertical="top" wrapText="1" vyd:clipText="0" mc:Ignorable="vyd"/>
    </s:xf>
    <s:xf numFmtId="172" fontId="1" fillId="0" applyNumberFormat="1" applyFont="1" applyFill="1" applyAlignment="1">
      <s:alignment horizontal="right" vertical="top" wrapText="1" vyd:clipText="0" mc:Ignorable="vyd"/>
    </s:xf>
    <s:xf numFmtId="172" fillId="2" applyNumberFormat="1" applyFill="1" applyAlignment="1">
      <s:alignment horizontal="right" vertical="top" wrapText="1" vyd:clipText="0" mc:Ignorable="vyd"/>
    </s:xf>
    <s:xf numFmtId="172" fontId="1" fillId="4" applyNumberFormat="1" applyFont="1" applyFill="1" applyAlignment="1">
      <s:alignment horizontal="center" vertical="top" wrapText="1" vyd:clipText="0" mc:Ignorable="vyd"/>
    </s:xf>
    <s:xf numFmtId="172" fontId="2" applyNumberFormat="1" applyFont="1" applyAlignment="1">
      <s:alignment horizontal="right" vertical="top" mc:Ignorable="vyd"/>
    </s:xf>
    <s:xf numFmtId="172" fontId="1" applyNumberFormat="1" applyFont="1" applyAlignment="1">
      <s:alignment horizontal="right" vertical="top" wrapText="1" vyd:clipText="0" mc:Ignorable="vyd"/>
    </s:xf>
    <s:xf numFmtId="1" fontId="1" fillId="0" applyNumberFormat="1" applyFont="1" applyFill="1" applyAlignment="1">
      <s:alignment horizontal="right" vertical="top" wrapText="1" vyd:clipText="0" mc:Ignorable="vyd"/>
    </s:xf>
    <s:xf numFmtId="1" fillId="2" applyNumberFormat="1" applyFill="1" applyAlignment="1">
      <s:alignment horizontal="right" vertical="top" wrapText="1" vyd:clipText="0" mc:Ignorable="vyd"/>
    </s:xf>
    <s:xf numFmtId="1" fontId="1" fillId="4" applyNumberFormat="1" applyFont="1" applyFill="1" applyAlignment="1">
      <s:alignment horizontal="center" vertical="top" wrapText="1" vyd:clipText="0" mc:Ignorable="vyd"/>
    </s:xf>
    <s:xf numFmtId="1" fontId="2" applyNumberFormat="1" applyFont="1" applyAlignment="1">
      <s:alignment horizontal="right" vertical="top" mc:Ignorable="vyd"/>
    </s:xf>
    <s:xf numFmtId="1" fontId="1" applyNumberFormat="1" applyFont="1" applyAlignment="1">
      <s:alignment horizontal="right" vertical="top" wrapText="1" vyd:clipText="0" mc:Ignorable="vyd"/>
    </s:xf>
    <s:xf numFmtId="166" fontId="1" fillId="0" applyNumberFormat="1" applyFont="1" applyFill="1" applyAlignment="1">
      <s:alignment horizontal="right" vertical="top" wrapText="1" vyd:clipText="0" mc:Ignorable="vyd"/>
    </s:xf>
    <s:xf numFmtId="166" fontId="1" fillId="4" applyNumberFormat="1" applyFont="1" applyFill="1" applyAlignment="1">
      <s:alignment horizontal="center" vertical="top" wrapText="1" vyd:clipText="0" mc:Ignorable="vyd"/>
    </s:xf>
    <s:xf numFmtId="166" fillId="2" applyNumberFormat="1" applyFill="1" applyAlignment="1">
      <s:alignment horizontal="right" vertical="top" wrapText="1" vyd:clipText="0" mc:Ignorable="vyd"/>
    </s:xf>
    <s:xf numFmtId="166" fontId="2" applyNumberFormat="1" applyFont="1" applyAlignment="1">
      <s:alignment horizontal="right" vertical="top" mc:Ignorable="vyd"/>
    </s:xf>
    <s:xf numFmtId="166" applyNumberFormat="1" applyAlignment="1">
      <s:alignment horizontal="right" vertical="top" mc:Ignorable="vyd"/>
    </s:xf>
    <s:xf numFmtId="166" fontId="0" fillId="0" borderId="0" xfId="0" applyNumberFormat="1"/>
    <s:xf numFmtId="166" fontId="1" applyNumberFormat="1" applyFont="1" applyAlignment="1">
      <s:alignment horizontal="right" vertical="top" wrapText="1" vyd:clipText="0" mc:Ignorable="vyd"/>
    </s:xf>
    <s:xf numFmtId="167" fontId="1" fillId="0" applyNumberFormat="1" applyFont="1" applyFill="1" applyAlignment="1">
      <s:alignment horizontal="right" vertical="top" wrapText="1" vyd:clipText="0" mc:Ignorable="vyd"/>
    </s:xf>
    <s:xf numFmtId="167" applyNumberFormat="1" applyAlignment="1">
      <s:alignment horizontal="right" vertical="top" wrapText="1" vyd:clipText="0" mc:Ignorable="vyd"/>
    </s:xf>
    <s:xf numFmtId="167" fillId="2" applyNumberFormat="1" applyFill="1" applyAlignment="1">
      <s:alignment horizontal="right" vertical="top" wrapText="1" vyd:clipText="0" mc:Ignorable="vyd"/>
    </s:xf>
    <s:xf numFmtId="167" fontId="1" fillId="4" applyNumberFormat="1" applyFont="1" applyFill="1" applyAlignment="1">
      <s:alignment horizontal="center" vertical="top" wrapText="1" vyd:clipText="0" mc:Ignorable="vyd"/>
    </s:xf>
    <s:xf numFmtId="167" fontId="2" applyNumberFormat="1" applyFont="1" applyAlignment="1">
      <s:alignment horizontal="right" vertical="top" mc:Ignorable="vyd"/>
    </s:xf>
    <s:xf numFmtId="167" applyNumberFormat="1" applyAlignment="1">
      <s:alignment horizontal="right" vertical="top" mc:Ignorable="vyd"/>
    </s:xf>
    <s:xf numFmtId="167" fontId="0" fillId="0" borderId="0" xfId="0" applyNumberFormat="1"/>
    <s:xf numFmtId="167" fontId="1" applyNumberFormat="1" applyFont="1" applyAlignment="1">
      <s:alignment horizontal="right" vertical="top" wrapText="1" vyd:clipText="0" mc:Ignorable="vyd"/>
    </s:xf>
    <s:xf numFmtId="168" fontId="2" applyNumberFormat="1" applyFont="1" applyAlignment="1">
      <s:alignment horizontal="right" vertical="top" mc:Ignorable="vyd"/>
    </s:xf>
    <s:xf numFmtId="168" applyNumberFormat="1" applyAlignment="1">
      <s:alignment horizontal="right" vertical="top" mc:Ignorable="vyd"/>
    </s:xf>
    <s:xf numFmtId="168" fontId="0" fillId="0" borderId="0" xfId="0" applyNumberFormat="1"/>
    <s:xf fontId="13" fillId="3" applyFont="1" applyFill="1" applyAlignment="1">
      <s:alignment horizontal="left" wrapText="0" vyd:clipText="0" mc:Ignorable="vyd"/>
    </s:xf>
    <s:xf numFmtId="166" borderId="1" applyNumberFormat="1" applyBorder="1" applyAlignment="1">
      <s:alignment horizontal="left" vertical="top" wrapText="0" vyd:clipText="0" mc:Ignorable="vyd"/>
    </s:xf>
    <s:xf numFmtId="167" borderId="1" applyNumberFormat="1" applyBorder="1" applyAlignment="1">
      <s:alignment horizontal="left" vertical="top" wrapText="0" vyd:clipText="0" mc:Ignorable="vyd"/>
    </s:xf>
    <s:xf numFmtId="168" borderId="1" applyNumberFormat="1" applyBorder="1" applyAlignment="1">
      <s:alignment horizontal="left" vertical="top" wrapText="0" vyd:clipText="0" mc:Ignorable="vyd"/>
    </s:xf>
    <s:xf numFmtId="168" fillId="4" borderId="1" applyNumberFormat="1" applyFill="1" applyBorder="1" applyAlignment="1">
      <s:alignment horizontal="right" wrapText="0" vyd:clipText="1" mc:Ignorable="vyd"/>
    </s:xf>
    <s:xf numFmtId="168" borderId="1" applyNumberFormat="1" applyBorder="1" applyAlignment="1">
      <s:alignment horizontal="right" vertical="top" wrapText="0" vyd:clipText="0" mc:Ignorable="vyd"/>
    </s:xf>
    <s:xf numFmtId="168" fillId="3" borderId="2" applyNumberFormat="1" applyFill="1" applyBorder="1" applyAlignment="1">
      <s:alignment horizontal="right" vertical="top" wrapText="0" vyd:clipText="0" mc:Ignorable="vyd"/>
    </s:xf>
    <s:xf numFmtId="168" borderId="2" applyNumberFormat="1" applyBorder="1" applyAlignment="1">
      <s:alignment horizontal="right" vertical="top" wrapText="0" vyd:clipText="0" mc:Ignorable="vyd"/>
    </s:xf>
    <s:xf numFmtId="168" fontId="1" fillId="3" borderId="2" applyNumberFormat="1" applyFont="1" applyFill="1" applyBorder="1" applyAlignment="1">
      <s:alignment horizontal="right" vertical="top" wrapText="0" vyd:clipText="0" mc:Ignorable="vyd"/>
    </s:xf>
    <s:xf fillId="11" borderId="3" applyFill="1" applyBorder="1" applyAlignment="1">
      <s:alignment horizontal="left" vertical="top" wrapText="1" vyd:clipText="0" mc:Ignorable="vyd"/>
    </s:xf>
    <s:xf fillId="5" applyFill="1" applyAlignment="1">
      <s:alignment horizontal="left" vertical="top" wrapText="1" vyd:clipText="0" mc:Ignorable="vyd"/>
    </s:xf>
    <s:xf fillId="10" applyFill="1" applyAlignment="1">
      <s:alignment horizontal="left" vertical="top" wrapText="1" vyd:clipText="0" mc:Ignorable="vyd"/>
    </s:xf>
    <s:xf applyAlignment="1">
      <s:alignment wrapText="0" vyd:clipText="0" mc:Ignorable="vyd"/>
    </s:xf>
    <s:xf fontId="1" fillId="5" borderId="3" applyFont="1" applyFill="1" applyBorder="1" applyAlignment="1">
      <s:alignment horizontal="left" wrapText="0" vyd:clipText="0" mc:Ignorable="vyd"/>
    </s:xf>
    <s:xf fillId="0" borderId="3" applyFill="1" applyBorder="1" applyAlignment="1">
      <s:alignment horizontal="left" wrapText="0" vyd:clipText="0" mc:Ignorable="vyd"/>
    </s:xf>
    <s:xf fillId="4" borderId="3" applyFill="1" applyBorder="1" applyAlignment="1">
      <s:alignment horizontal="left" wrapText="0" vyd:clipText="0" mc:Ignorable="vyd"/>
    </s:xf>
    <s:xf fillId="11" borderId="3" applyFill="1" applyBorder="1" applyAlignment="1">
      <s:alignment horizontal="left" vertical="top" wrapText="0" vyd:clipText="0" mc:Ignorable="vyd"/>
    </s:xf>
    <s:xf fillId="5" applyFill="1" applyAlignment="1">
      <s:alignment horizontal="left" vertical="top" wrapText="0" vyd:clipText="0" mc:Ignorable="vyd"/>
    </s:xf>
    <s:xf fillId="10" applyFill="1" applyAlignment="1">
      <s:alignment horizontal="left" vertical="top" wrapText="0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encoding="UTF-8"?><Relationships xmlns="http://schemas.openxmlformats.org/package/2006/relationships"><Relationship Id="rId67" Type="http://schemas.openxmlformats.org/officeDocument/2006/relationships/styles" Target="styles.xml"/><Relationship Id="rId68" Type="http://schemas.openxmlformats.org/officeDocument/2006/relationships/theme" Target="theme/theme1.xml"/><Relationship Target="sharedStrings.xml" Type="http://schemas.openxmlformats.org/officeDocument/2006/relationships/sharedStrings" Id="rId69"/><Relationship Target="persons/person.xml" Type="http://schemas.microsoft.com/office/2017/10/relationships/person" Id="rId70"/><Relationship Target="metadata.xml" Type="http://schemas.openxmlformats.org/officeDocument/2006/relationships/sheetMetadata" Id="rId71"/><Relationship Target="worksheets/sheet1.xml" Type="http://schemas.openxmlformats.org/officeDocument/2006/relationships/worksheet" Id="rId63"/><Relationship Target="worksheets/sheet2.xml" Type="http://schemas.openxmlformats.org/officeDocument/2006/relationships/worksheet" Id="rId64"/><Relationship Target="worksheets/sheet3.xml" Type="http://schemas.openxmlformats.org/officeDocument/2006/relationships/worksheet" Id="rId65"/><Relationship Target="worksheets/sheet4.xml" Type="http://schemas.openxmlformats.org/officeDocument/2006/relationships/worksheet" Id="rId66"/></Relationships>
</file>

<file path=xl/persons/person.xml><?xml version="1.0" encoding="utf-8"?>
<sc:personList xmlns:sc="http://schemas.microsoft.com/office/spreadsheetml/2018/threadedcomments">
  <sc:person displayName="Тупка Глупкина" id="{E854513D-DAED-4BDA-B97C-D076C54267BF}" userId="465546694" providerId="Non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sc:ThreadedComments xmlns:sc="http://schemas.microsoft.com/office/spreadsheetml/2018/threadedcomments">
  <sc:threadedComment ref="C18" dT="2026-10-14T20:54:48.180Z" personId="{E854513D-DAED-4BDA-B97C-D076C54267BF}" id="{53E04A49-62C6-44AA-B65B-CCF1D8124DEC}">
    <sc:text>100 × 16 ч × 2 500 ₽</sc:text>
  </sc:threadedComment>
  <sc:threadedComment ref="C20" dT="2026-10-14T20:55:21.133Z" personId="{E854513D-DAED-4BDA-B97C-D076C54267BF}" id="{18153E61-76CD-44BF-A37B-8F4D4B64128B}">
    <sc:text>100 × 20 ч × 500 ₽</sc:text>
  </sc:threadedComment>
  <sc:threadedComment ref="C21" dT="2026-10-14T20:55:45.852Z" personId="{E854513D-DAED-4BDA-B97C-D076C54267BF}" id="{5161BC46-67C8-4656-B4EC-1DB3628B7AF5}">
    <sc:text>100 × 8 ч × 1500 ₽</sc:text>
  </sc:threadedComment>
</sc:ThreadedComments>
</file>

<file path=xl/worksheets/_rels/sheet1.xml.rels><?xml version="1.0" encoding="UTF-8"?><Relationships xmlns="http://schemas.openxmlformats.org/package/2006/relationships"><Relationship TargetMode="External" Target="http://itglobal.com/" Type="http://schemas.openxmlformats.org/officeDocument/2006/relationships/hyperlink" Id="rId25"/><Relationship TargetMode="External" Target="https://tracker.yandex.ru/INC-8433" Type="http://schemas.openxmlformats.org/officeDocument/2006/relationships/hyperlink" Id="rId26"/><Relationship TargetMode="External" Target="http://hh.ru/" Type="http://schemas.openxmlformats.org/officeDocument/2006/relationships/hyperlink" Id="rId27"/></Relationships>
</file>

<file path=xl/worksheets/_rels/sheet3.xml.rels><?xml version="1.0" encoding="UTF-8"?><Relationships xmlns="http://schemas.openxmlformats.org/package/2006/relationships"><Relationship Target="../drawings/vmlDrawing1.vml" Type="http://schemas.openxmlformats.org/officeDocument/2006/relationships/vmlDrawing" Id="rId1"/><Relationship Target="../drawings/vmlDrawing1.vml" Type="http://schemas.openxmlformats.org/officeDocument/2006/relationships/vmlDrawing" Id="rId2"/><Relationship Target="../drawings/vmlDrawing1.vml" Type="http://schemas.openxmlformats.org/officeDocument/2006/relationships/vmlDrawing" Id="rId5"/><Relationship Target="../drawings/vmlDrawing1.vml" Type="http://schemas.openxmlformats.org/officeDocument/2006/relationships/vmlDrawing" Id="rId8"/><Relationship Target="../drawings/vmlDrawing1.vml" Type="http://schemas.openxmlformats.org/officeDocument/2006/relationships/vmlDrawing" Id="rId11"/><Relationship Target="../drawings/vmlDrawing1.vml" Type="http://schemas.openxmlformats.org/officeDocument/2006/relationships/vmlDrawing" Id="rId14"/><Relationship Target="../drawings/vmlDrawing1.vml" Type="http://schemas.openxmlformats.org/officeDocument/2006/relationships/vmlDrawing" Id="rId17"/><Relationship Target="../drawings/vmlDrawing1.vml" Type="http://schemas.openxmlformats.org/officeDocument/2006/relationships/vmlDrawing" Id="rId20"/><Relationship Target="../drawings/vmlDrawing1.vml" Type="http://schemas.openxmlformats.org/officeDocument/2006/relationships/vmlDrawing" Id="rId23"/><Relationship Target="../drawings/vmlDrawing1.vml" Type="http://schemas.openxmlformats.org/officeDocument/2006/relationships/vmlDrawing" Id="rId26"/><Relationship Target="../drawings/vmlDrawing1.vml" Type="http://schemas.openxmlformats.org/officeDocument/2006/relationships/vmlDrawing" Id="rId29"/><Relationship Target="../drawings/vmlDrawing1.vml" Type="http://schemas.openxmlformats.org/officeDocument/2006/relationships/vmlDrawing" Id="rId32"/><Relationship Target="../drawings/vmlDrawing1.vml" Type="http://schemas.openxmlformats.org/officeDocument/2006/relationships/vmlDrawing" Id="rId35"/><Relationship Target="../drawings/vmlDrawing1.vml" Type="http://schemas.openxmlformats.org/officeDocument/2006/relationships/vmlDrawing" Id="rId38"/><Relationship Target="../drawings/vmlDrawing1.vml" Type="http://schemas.openxmlformats.org/officeDocument/2006/relationships/vmlDrawing" Id="rId3"/><Relationship Target="../drawings/vmlDrawing1.vml" Type="http://schemas.openxmlformats.org/officeDocument/2006/relationships/vmlDrawing" Id="rId4"/><Relationship Target="../threadedComments/threadedComment1.xml" Type="http://schemas.microsoft.com/office/2017/10/relationships/threadedComment" Id="rId6"/><Relationship Target="../comments1.xml" Type="http://schemas.openxmlformats.org/officeDocument/2006/relationships/comments" Id="rId7"/><Relationship Target="../drawings/vmlDrawing1.vml" Type="http://schemas.openxmlformats.org/officeDocument/2006/relationships/vmlDrawing" Id="rId9"/><Relationship Target="../threadedComments/threadedComment1.xml" Type="http://schemas.microsoft.com/office/2017/10/relationships/threadedComment" Id="rId10"/><Relationship Target="../comments1.xml" Type="http://schemas.openxmlformats.org/officeDocument/2006/relationships/comments" Id="rId12"/><Relationship Target="../drawings/vmlDrawing1.vml" Type="http://schemas.openxmlformats.org/officeDocument/2006/relationships/vmlDrawing" Id="rId13"/><Relationship Target="../threadedComments/threadedComment1.xml" Type="http://schemas.microsoft.com/office/2017/10/relationships/threadedComment" Id="rId15"/><Relationship Target="../comments1.xml" Type="http://schemas.openxmlformats.org/officeDocument/2006/relationships/comments" Id="rId16"/><Relationship Target="../drawings/vmlDrawing1.vml" Type="http://schemas.openxmlformats.org/officeDocument/2006/relationships/vmlDrawing" Id="rId18"/><Relationship Target="../threadedComments/threadedComment1.xml" Type="http://schemas.microsoft.com/office/2017/10/relationships/threadedComment" Id="rId19"/><Relationship Target="../comments1.xml" Type="http://schemas.openxmlformats.org/officeDocument/2006/relationships/comments" Id="rId21"/><Relationship Target="../drawings/vmlDrawing1.vml" Type="http://schemas.openxmlformats.org/officeDocument/2006/relationships/vmlDrawing" Id="rId22"/><Relationship Target="../threadedComments/threadedComment1.xml" Type="http://schemas.microsoft.com/office/2017/10/relationships/threadedComment" Id="rId24"/><Relationship Target="../comments1.xml" Type="http://schemas.openxmlformats.org/officeDocument/2006/relationships/comments" Id="rId25"/><Relationship Target="../drawings/vmlDrawing1.vml" Type="http://schemas.openxmlformats.org/officeDocument/2006/relationships/vmlDrawing" Id="rId27"/><Relationship Target="../threadedComments/threadedComment1.xml" Type="http://schemas.microsoft.com/office/2017/10/relationships/threadedComment" Id="rId28"/><Relationship Target="../comments1.xml" Type="http://schemas.openxmlformats.org/officeDocument/2006/relationships/comments" Id="rId30"/><Relationship Target="../drawings/vmlDrawing1.vml" Type="http://schemas.openxmlformats.org/officeDocument/2006/relationships/vmlDrawing" Id="rId31"/><Relationship Target="../threadedComments/threadedComment1.xml" Type="http://schemas.microsoft.com/office/2017/10/relationships/threadedComment" Id="rId33"/><Relationship Target="../comments1.xml" Type="http://schemas.openxmlformats.org/officeDocument/2006/relationships/comments" Id="rId34"/><Relationship Target="../drawings/vmlDrawing1.vml" Type="http://schemas.openxmlformats.org/officeDocument/2006/relationships/vmlDrawing" Id="rId36"/><Relationship Target="../threadedComments/threadedComment1.xml" Type="http://schemas.microsoft.com/office/2017/10/relationships/threadedComment" Id="rId37"/><Relationship Target="../comments1.xml" Type="http://schemas.openxmlformats.org/officeDocument/2006/relationships/comments" Id="rId39"/><Relationship Target="../drawings/vmlDrawing1.vml" Type="http://schemas.openxmlformats.org/officeDocument/2006/relationships/vmlDrawing" Id="rId40"/><Relationship Target="../threadedComments/threadedComment1.xml" Type="http://schemas.microsoft.com/office/2017/10/relationships/threadedComment" Id="rId41"/><Relationship Target="../comments1.xml" Type="http://schemas.openxmlformats.org/officeDocument/2006/relationships/comments" Id="rId42"/></Relationships>
</file>

<file path=xl/worksheets/_rels/sheet4.xml.rels><?xml version="1.0" encoding="UTF-8"?><Relationships xmlns="http://schemas.openxmlformats.org/package/2006/relationships"><Relationship TargetMode="External" Target="http://itglobal.com/" Type="http://schemas.openxmlformats.org/officeDocument/2006/relationships/hyperlink" Id="rId9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"/>
  <s:sheetViews>
    <s:sheetView tabSelected="0" workbookViewId="0">
      <s:pane ySplit="3" topLeftCell="A4" activePane="bottomLeft" state="frozen"/>
    </s:sheetView>
  </s:sheetViews>
  <s:sheetFormatPr baseColWidth="13" defaultColWidth="13.4" defaultRowHeight="14.25" customHeight="1"/>
  <s:cols>
    <s:col min="1" max="1" width="4.453" style="511" customWidth="1"/>
    <s:col min="2" max="2" width="41.273" style="51" customWidth="1"/>
    <s:col min="3" max="3" width="13.082" style="588" customWidth="1"/>
    <s:col min="4" max="4" width="11.871" style="598" customWidth="1"/>
    <s:col min="5" max="5" width="11.871" style="465" customWidth="1"/>
    <s:col min="6" max="6" width="50.172" style="51" customWidth="1"/>
    <s:col min="7" max="7" width="50.172" style="51" customWidth="1"/>
    <s:col min="8" max="8" width="13.352" style="51"/>
    <s:col min="9" max="9" width="13.352" style="51"/>
    <s:col min="10" max="10" width="13.352" style="51"/>
    <s:col min="11" max="11" width="13.352" style="51"/>
    <s:col min="12" max="12" width="13.352" style="51"/>
    <s:col min="13" max="13" width="13.352" style="51"/>
    <s:col min="14" max="14" width="13.352" style="51"/>
    <s:col min="15" max="15" width="13.352" style="51"/>
    <s:col min="16" max="16" width="13.352" style="51"/>
    <s:col min="17" max="17" width="13.352" style="51"/>
    <s:col min="18" max="18" width="13.352" style="51"/>
    <s:col min="19" max="19" width="13.352" style="51"/>
    <s:col min="20" max="20" width="13.352" style="51"/>
    <s:col min="21" max="21" width="13.352" style="51"/>
    <s:col min="22" max="22" width="13.352" style="51"/>
    <s:col min="23" max="23" width="13.352" style="51"/>
    <s:col min="24" max="24" width="13.352" style="51"/>
    <s:col min="25" max="25" width="13.352" style="51"/>
    <s:col min="26" max="26" width="13.352" style="51"/>
    <s:col min="27" max="27" width="13.352" style="51"/>
  </s:cols>
  <s:sheetData>
    <s:row r="1" s="223" customFormat="1" ht="14.25">
      <s:c r="A1" s="517"/>
      <s:c r="B1" s="62" t="s">
        <s:v>527</s:v>
      </s:c>
      <s:c r="C1" s="589"/>
      <s:c r="D1" s="618"/>
      <s:c r="E1" s="470"/>
      <s:c r="F1" s="62"/>
      <s:c r="G1" s="62"/>
      <s:c r="H1" s="587"/>
      <s:c r="I1" s="587"/>
      <s:c r="J1" s="587"/>
      <s:c r="K1" s="587"/>
      <s:c r="L1" s="587"/>
      <s:c r="M1" s="587"/>
      <s:c r="N1" s="587"/>
      <s:c r="O1" s="587"/>
      <s:c r="P1" s="587"/>
      <s:c r="Q1" s="587"/>
      <s:c r="R1" s="587"/>
      <s:c r="S1" s="587"/>
      <s:c r="T1" s="587"/>
      <s:c r="U1" s="587"/>
      <s:c r="V1" s="587"/>
      <s:c r="W1" s="587"/>
      <s:c r="X1" s="587"/>
      <s:c r="Y1" s="587"/>
      <s:c r="Z1" s="587"/>
      <s:c r="AA1" s="587"/>
    </s:row>
    <s:row r="2" s="223" customFormat="1" ht="14.25">
      <s:c r="A2" s="517"/>
      <s:c r="B2" s="62"/>
      <s:c r="C2" s="589"/>
      <s:c r="D2" s="618"/>
      <s:c r="E2" s="470"/>
      <s:c r="F2" s="62"/>
      <s:c r="G2" s="62"/>
      <s:c r="H2" s="587"/>
      <s:c r="I2" s="587"/>
      <s:c r="J2" s="587"/>
      <s:c r="K2" s="587"/>
      <s:c r="L2" s="587"/>
      <s:c r="M2" s="587"/>
      <s:c r="N2" s="587"/>
      <s:c r="O2" s="587"/>
      <s:c r="P2" s="587"/>
      <s:c r="Q2" s="587"/>
      <s:c r="R2" s="587"/>
      <s:c r="S2" s="587"/>
      <s:c r="T2" s="587"/>
      <s:c r="U2" s="587"/>
      <s:c r="V2" s="587"/>
      <s:c r="W2" s="587"/>
      <s:c r="X2" s="587"/>
      <s:c r="Y2" s="587"/>
      <s:c r="Z2" s="587"/>
      <s:c r="AA2" s="587"/>
    </s:row>
    <s:row r="3" s="462" customFormat="1" ht="26.25">
      <s:c r="A3" s="555" t="s">
        <s:v>1</s:v>
      </s:c>
      <s:c r="B3" s="556" t="s">
        <s:v>2</s:v>
      </s:c>
      <s:c r="C3" s="590" t="s">
        <s:v>3</s:v>
      </s:c>
      <s:c r="D3" s="620"/>
      <s:c r="E3" s="607" t="s">
        <s:v>544</s:v>
      </s:c>
      <s:c r="F3" s="556" t="s">
        <s:v>5</s:v>
      </s:c>
      <s:c r="G3" s="556" t="s">
        <s:v>6</s:v>
      </s:c>
      <s:c r="H3" s="558"/>
      <s:c r="I3" s="558"/>
      <s:c r="J3" s="558"/>
      <s:c r="K3" s="558"/>
      <s:c r="L3" s="558"/>
      <s:c r="M3" s="558"/>
      <s:c r="N3" s="558"/>
      <s:c r="O3" s="558"/>
      <s:c r="P3" s="558"/>
      <s:c r="Q3" s="558"/>
      <s:c r="R3" s="558"/>
      <s:c r="S3" s="558"/>
      <s:c r="T3" s="558"/>
      <s:c r="U3" s="558"/>
      <s:c r="V3" s="558"/>
      <s:c r="W3" s="558"/>
      <s:c r="X3" s="558"/>
      <s:c r="Y3" s="558"/>
      <s:c r="Z3" s="558"/>
      <s:c r="AA3" s="558"/>
    </s:row>
    <s:row r="4" s="44" customFormat="1" ht="14.25">
      <s:c r="A4" s="513"/>
      <s:c r="B4" s="48" t="s">
        <s:v>0</s:v>
      </s:c>
      <s:c r="C4" s="55"/>
      <s:c r="D4" s="619"/>
      <s:c r="E4" s="467"/>
      <s:c r="F4" s="49"/>
      <s:c r="G4" s="49"/>
      <s:c r="H4" s="49"/>
      <s:c r="I4" s="49"/>
      <s:c r="J4" s="49"/>
      <s:c r="K4" s="49"/>
      <s:c r="L4" s="49"/>
      <s:c r="M4" s="49"/>
      <s:c r="N4" s="49"/>
      <s:c r="O4" s="49"/>
      <s:c r="P4" s="49"/>
      <s:c r="Q4" s="49"/>
      <s:c r="R4" s="49"/>
      <s:c r="S4" s="49"/>
      <s:c r="T4" s="49"/>
      <s:c r="U4" s="49"/>
      <s:c r="V4" s="49"/>
      <s:c r="W4" s="49"/>
      <s:c r="X4" s="49"/>
      <s:c r="Y4" s="49"/>
      <s:c r="Z4" s="49"/>
      <s:c r="AA4" s="49"/>
    </s:row>
    <s:row r="5" ht="26.25">
      <s:c r="A5" s="512" t="s">
        <s:v>475</s:v>
      </s:c>
      <s:c r="B5" s="61" t="s">
        <s:v>7</s:v>
      </s:c>
      <s:c r="C5" s="591" t="s">
        <s:v>8</s:v>
      </s:c>
      <s:c r="D5" s="600"/>
      <s:c r="E5" s="466">
        <s:v>120000</s:v>
      </s:c>
      <s:c r="F5" s="57" t="s">
        <s:v>9</s:v>
      </s:c>
      <s:c r="G5" s="57" t="s">
        <s:v>10</s:v>
      </s:c>
    </s:row>
    <s:row r="6" ht="14.25">
      <s:c r="A6" s="512" t="s">
        <s:v>476</s:v>
      </s:c>
      <s:c r="B6" s="61" t="s">
        <s:v>529</s:v>
      </s:c>
      <s:c r="C6" s="591" t="s">
        <s:v>8</s:v>
      </s:c>
      <s:c r="D6" s="600"/>
      <s:c r="E6" s="466">
        <s:v>0</s:v>
      </s:c>
      <s:c r="F6" s="57" t="s">
        <s:v>530</s:v>
      </s:c>
      <s:c r="G6" s="57" t="s">
        <s:v>531</s:v>
      </s:c>
    </s:row>
    <s:row r="7" ht="14.25">
      <s:c r="A7" s="512" t="s">
        <s:v>477</s:v>
      </s:c>
      <s:c r="B7" s="61" t="s">
        <s:v>14</s:v>
      </s:c>
      <s:c r="C7" s="591" t="s">
        <s:v>8</s:v>
      </s:c>
      <s:c r="D7" s="600"/>
      <s:c r="E7" s="466">
        <s:v>65000</s:v>
      </s:c>
      <s:c r="F7" s="57" t="s">
        <s:v>15</s:v>
      </s:c>
      <s:c r="G7" s="57" t="s">
        <s:v>16</s:v>
      </s:c>
    </s:row>
    <s:row r="8" ht="14.25">
      <s:c r="A8" s="512" t="s">
        <s:v>478</s:v>
      </s:c>
      <s:c r="B8" s="61" t="s">
        <s:v>17</s:v>
      </s:c>
      <s:c r="C8" s="591" t="s">
        <s:v>8</s:v>
      </s:c>
      <s:c r="D8" s="600"/>
      <s:c r="E8" s="466">
        <s:v>36500</s:v>
      </s:c>
      <s:c r="F8" s="57" t="s">
        <s:v>18</s:v>
      </s:c>
      <s:c r="G8" s="57" t="s">
        <s:v>19</s:v>
      </s:c>
    </s:row>
    <s:row r="9" ht="26.25">
      <s:c r="A9" s="512" t="s">
        <s:v>481</s:v>
      </s:c>
      <s:c r="B9" s="61" t="s">
        <s:v>20</s:v>
      </s:c>
      <s:c r="C9" s="591" t="s">
        <s:v>8</s:v>
      </s:c>
      <s:c r="D9" s="600"/>
      <s:c r="E9" s="466">
        <s:v>25000</s:v>
      </s:c>
      <s:c r="F9" s="57" t="s">
        <s:v>21</s:v>
      </s:c>
      <s:c r="G9" s="57" t="s">
        <s:v>22</s:v>
      </s:c>
    </s:row>
    <s:row r="10" ht="26.25">
      <s:c r="A10" s="512" t="s">
        <s:v>484</s:v>
      </s:c>
      <s:c r="B10" s="61" t="s">
        <s:v>23</s:v>
      </s:c>
      <s:c r="C10" s="591" t="s">
        <s:v>8</s:v>
      </s:c>
      <s:c r="D10" s="600"/>
      <s:c r="E10" s="466">
        <s:v>46330</s:v>
      </s:c>
      <s:c r="F10" s="57" t="s">
        <s:v>24</s:v>
      </s:c>
      <s:c r="G10" s="57" t="s">
        <s:v>25</s:v>
      </s:c>
    </s:row>
    <s:row r="11" ht="14.25">
      <s:c r="A11" s="512" t="s">
        <s:v>479</s:v>
      </s:c>
      <s:c r="B11" s="61" t="s">
        <s:v>26</s:v>
      </s:c>
      <s:c r="C11" s="591" t="s">
        <s:v>8</s:v>
      </s:c>
      <s:c r="D11" s="600"/>
      <s:c r="E11" s="466">
        <s:v>9200</s:v>
      </s:c>
      <s:c r="F11" s="57" t="s">
        <s:v>27</s:v>
      </s:c>
      <s:c r="G11" s="57" t="s">
        <s:v>28</s:v>
      </s:c>
    </s:row>
    <s:row r="12" ht="14.25">
      <s:c r="A12" s="512" t="s">
        <s:v>482</s:v>
      </s:c>
      <s:c r="B12" s="61" t="s">
        <s:v>346</s:v>
      </s:c>
      <s:c r="C12" s="591" t="s">
        <s:v>8</s:v>
      </s:c>
      <s:c r="D12" s="600"/>
      <s:c r="E12" s="466">
        <s:v>35000</s:v>
      </s:c>
      <s:c r="F12" s="57" t="s">
        <s:v>30</s:v>
      </s:c>
      <s:c r="G12" s="57" t="s">
        <s:v>31</s:v>
      </s:c>
    </s:row>
    <s:row r="13" ht="26.25">
      <s:c r="A13" s="512" t="s">
        <s:v>485</s:v>
      </s:c>
      <s:c r="B13" s="61" t="s">
        <s:v>32</s:v>
      </s:c>
      <s:c r="C13" s="591" t="s">
        <s:v>8</s:v>
      </s:c>
      <s:c r="D13" s="600"/>
      <s:c r="E13" s="466">
        <s:v>25000</s:v>
      </s:c>
      <s:c r="F13" s="57" t="s">
        <s:v>33</s:v>
      </s:c>
      <s:c r="G13" s="57" t="s">
        <s:v>34</s:v>
      </s:c>
    </s:row>
    <s:row r="14" ht="14.25">
      <s:c r="A14" s="512"/>
      <s:c r="B14" s="61"/>
      <s:c r="C14" s="591"/>
      <s:c r="D14" s="600"/>
      <s:c r="E14" s="466"/>
      <s:c r="F14" s="57"/>
      <s:c r="G14" s="57"/>
    </s:row>
    <s:row r="15" s="44" customFormat="1" ht="14.25">
      <s:c r="A15" s="513"/>
      <s:c r="B15" s="48" t="s">
        <s:v>524</s:v>
      </s:c>
      <s:c r="C15" s="55"/>
      <s:c r="D15" s="619"/>
      <s:c r="E15" s="467"/>
      <s:c r="F15" s="49"/>
      <s:c r="G15" s="49"/>
      <s:c r="H15" s="49"/>
      <s:c r="I15" s="49"/>
      <s:c r="J15" s="49"/>
      <s:c r="K15" s="49"/>
      <s:c r="L15" s="49"/>
      <s:c r="M15" s="49"/>
      <s:c r="N15" s="49"/>
      <s:c r="O15" s="49"/>
      <s:c r="P15" s="49"/>
      <s:c r="Q15" s="49"/>
      <s:c r="R15" s="49"/>
      <s:c r="S15" s="49"/>
      <s:c r="T15" s="49"/>
      <s:c r="U15" s="49"/>
      <s:c r="V15" s="49"/>
      <s:c r="W15" s="49"/>
      <s:c r="X15" s="49"/>
      <s:c r="Y15" s="49"/>
      <s:c r="Z15" s="49"/>
      <s:c r="AA15" s="49"/>
    </s:row>
    <s:row r="16" ht="14.25">
      <s:c r="A16" s="512" t="s">
        <s:v>466</s:v>
      </s:c>
      <s:c r="B16" s="61" t="s">
        <s:v>39</s:v>
      </s:c>
      <s:c r="C16" s="591" t="s">
        <s:v>40</s:v>
      </s:c>
      <s:c r="D16" s="600"/>
      <s:c r="E16" s="466">
        <s:v>13000</s:v>
      </s:c>
      <s:c r="F16" s="57" t="s">
        <s:v>41</s:v>
      </s:c>
      <s:c r="G16" s="57" t="s">
        <s:v>42</s:v>
      </s:c>
    </s:row>
    <s:row r="17" ht="14.25">
      <s:c r="A17" s="512" t="s">
        <s:v>468</s:v>
      </s:c>
      <s:c r="B17" s="61" t="s">
        <s:v>48</s:v>
      </s:c>
      <s:c r="C17" s="591" t="s">
        <s:v>533</s:v>
      </s:c>
      <s:c r="D17" s="600"/>
      <s:c r="E17" s="466">
        <s:v>2500</s:v>
      </s:c>
      <s:c r="F17" s="57" t="s">
        <s:v>49</s:v>
      </s:c>
      <s:c r="G17" s="57" t="s">
        <s:v>50</s:v>
      </s:c>
    </s:row>
    <s:row r="18" ht="14.25">
      <s:c r="A18" s="512" t="s">
        <s:v>469</s:v>
      </s:c>
      <s:c r="B18" s="61" t="s">
        <s:v>51</s:v>
      </s:c>
      <s:c r="C18" s="591" t="s">
        <s:v>100</s:v>
      </s:c>
      <s:c r="D18" s="600"/>
      <s:c r="E18" s="466">
        <s:v>1500</s:v>
      </s:c>
      <s:c r="F18" s="57" t="s">
        <s:v>52</s:v>
      </s:c>
      <s:c r="G18" s="57" t="s">
        <s:v>53</s:v>
      </s:c>
    </s:row>
    <s:row r="19" ht="26.25">
      <s:c r="A19" s="512" t="s">
        <s:v>471</s:v>
      </s:c>
      <s:c r="B19" s="61" t="s">
        <s:v>54</s:v>
      </s:c>
      <s:c r="C19" s="591" t="s">
        <s:v>533</s:v>
      </s:c>
      <s:c r="D19" s="600"/>
      <s:c r="E19" s="466">
        <s:v>1274</s:v>
      </s:c>
      <s:c r="F19" s="57" t="s">
        <s:v>444</s:v>
      </s:c>
      <s:c r="G19" s="57" t="s">
        <s:v>56</s:v>
      </s:c>
    </s:row>
    <s:row r="20" ht="14.25">
      <s:c r="A20" s="512" t="s">
        <s:v>473</s:v>
      </s:c>
      <s:c r="B20" s="61" t="s">
        <s:v>57</s:v>
      </s:c>
      <s:c r="C20" s="591" t="s">
        <s:v>533</s:v>
      </s:c>
      <s:c r="D20" s="600"/>
      <s:c r="E20" s="466">
        <s:v>1186</s:v>
      </s:c>
      <s:c r="F20" s="57" t="s">
        <s:v>58</s:v>
      </s:c>
      <s:c r="G20" s="57" t="s">
        <s:v>59</s:v>
      </s:c>
    </s:row>
    <s:row r="21" ht="14.25">
      <s:c r="A21" s="512" t="s">
        <s:v>470</s:v>
      </s:c>
      <s:c r="B21" s="61" t="s">
        <s:v>60</s:v>
      </s:c>
      <s:c r="C21" s="591" t="s">
        <s:v>533</s:v>
      </s:c>
      <s:c r="D21" s="600"/>
      <s:c r="E21" s="466">
        <s:v>500</s:v>
      </s:c>
      <s:c r="F21" s="57" t="s">
        <s:v>61</s:v>
      </s:c>
      <s:c r="G21" s="57" t="s">
        <s:v>62</s:v>
      </s:c>
    </s:row>
    <s:row r="22" ht="14.25">
      <s:c r="A22" s="512"/>
      <s:c r="B22" s="61"/>
      <s:c r="C22" s="591"/>
      <s:c r="D22" s="600"/>
      <s:c r="E22" s="466"/>
      <s:c r="F22" s="57"/>
      <s:c r="G22" s="57"/>
    </s:row>
    <s:row r="23" s="47" customFormat="1" ht="14.25">
      <s:c r="A23" s="513"/>
      <s:c r="B23" s="48" t="s">
        <s:v>63</s:v>
      </s:c>
      <s:c r="C23" s="55"/>
      <s:c r="D23" s="619"/>
      <s:c r="E23" s="467"/>
      <s:c r="F23" s="49"/>
      <s:c r="G23" s="49"/>
      <s:c r="H23" s="49"/>
      <s:c r="I23" s="49"/>
      <s:c r="J23" s="49"/>
      <s:c r="K23" s="49"/>
      <s:c r="L23" s="49"/>
      <s:c r="M23" s="49"/>
      <s:c r="N23" s="49"/>
      <s:c r="O23" s="49"/>
      <s:c r="P23" s="49"/>
      <s:c r="Q23" s="49"/>
      <s:c r="R23" s="49"/>
      <s:c r="S23" s="49"/>
      <s:c r="T23" s="49"/>
      <s:c r="U23" s="49"/>
      <s:c r="V23" s="49"/>
      <s:c r="W23" s="49"/>
      <s:c r="X23" s="49"/>
      <s:c r="Y23" s="49"/>
      <s:c r="Z23" s="49"/>
      <s:c r="AA23" s="49"/>
    </s:row>
    <s:row r="24" ht="26.25">
      <s:c r="A24" s="512" t="s">
        <s:v>462</s:v>
      </s:c>
      <s:c r="B24" s="61" t="s">
        <s:v>64</s:v>
      </s:c>
      <s:c r="C24" s="591" t="s">
        <s:v>65</s:v>
      </s:c>
      <s:c r="D24" s="600"/>
      <s:c r="E24" s="466">
        <s:v>2500</s:v>
      </s:c>
      <s:c r="F24" s="57" t="s">
        <s:v>66</s:v>
      </s:c>
      <s:c r="G24" s="57" t="s">
        <s:v>67</s:v>
      </s:c>
    </s:row>
    <s:row r="25" ht="14.25">
      <s:c r="A25" s="512" t="s">
        <s:v>463</s:v>
      </s:c>
      <s:c r="B25" s="61" t="s">
        <s:v>68</s:v>
      </s:c>
      <s:c r="C25" s="591" t="s">
        <s:v>65</s:v>
      </s:c>
      <s:c r="D25" s="600"/>
      <s:c r="E25" s="466">
        <s:v>1800</s:v>
      </s:c>
      <s:c r="F25" s="57" t="s">
        <s:v>69</s:v>
      </s:c>
      <s:c r="G25" s="57" t="s">
        <s:v>70</s:v>
      </s:c>
    </s:row>
    <s:row r="26" ht="14.25">
      <s:c r="A26" s="512" t="s">
        <s:v>464</s:v>
      </s:c>
      <s:c r="B26" s="61" t="s">
        <s:v>71</s:v>
      </s:c>
      <s:c r="C26" s="591" t="s">
        <s:v>65</s:v>
      </s:c>
      <s:c r="D26" s="600"/>
      <s:c r="E26" s="466">
        <s:v>500</s:v>
      </s:c>
      <s:c r="F26" s="57" t="s">
        <s:v>72</s:v>
      </s:c>
      <s:c r="G26" s="57" t="s">
        <s:v>73</s:v>
      </s:c>
    </s:row>
    <s:row r="27" ht="14.25">
      <s:c r="A27" s="512" t="s">
        <s:v>465</s:v>
      </s:c>
      <s:c r="B27" s="61" t="s">
        <s:v>74</s:v>
      </s:c>
      <s:c r="C27" s="591" t="s">
        <s:v>40</s:v>
      </s:c>
      <s:c r="D27" s="600"/>
      <s:c r="E27" s="466">
        <s:v>15000</s:v>
      </s:c>
      <s:c r="F27" s="57" t="s">
        <s:v>75</s:v>
      </s:c>
      <s:c r="G27" s="57" t="s">
        <s:v>76</s:v>
      </s:c>
    </s:row>
    <s:row r="28" s="204" ht="26.25">
      <s:c r="A28" s="515" t="s">
        <s:v>511</s:v>
      </s:c>
      <s:c r="B28" s="196" t="s">
        <s:v>267</s:v>
      </s:c>
      <s:c r="C28" s="593" t="s">
        <s:v>100</s:v>
      </s:c>
      <s:c r="D28" s="621"/>
      <s:c r="E28" s="638">
        <s:v>150000</s:v>
      </s:c>
      <s:c r="F28" s="473" t="s">
        <s:v>424</s:v>
      </s:c>
      <s:c r="G28" s="475" t="s">
        <s:v>269</s:v>
      </s:c>
      <s:c r="H28" s="476"/>
      <s:c r="I28" s="476"/>
      <s:c r="J28" s="476"/>
      <s:c r="K28" s="476"/>
      <s:c r="L28" s="476"/>
      <s:c r="M28" s="476"/>
      <s:c r="N28" s="476"/>
      <s:c r="O28" s="476"/>
      <s:c r="P28" s="476"/>
      <s:c r="Q28" s="476"/>
      <s:c r="R28" s="476"/>
      <s:c r="S28" s="476"/>
      <s:c r="T28" s="476"/>
      <s:c r="U28" s="476"/>
      <s:c r="V28" s="476"/>
      <s:c r="W28" s="476"/>
      <s:c r="X28" s="476"/>
      <s:c r="Y28" s="476"/>
      <s:c r="Z28" s="476"/>
      <s:c r="AA28" s="476"/>
    </s:row>
    <s:row r="29" ht="14.25">
      <s:c r="A29" s="512"/>
      <s:c r="B29" s="61"/>
      <s:c r="C29" s="591"/>
      <s:c r="D29" s="600"/>
      <s:c r="E29" s="466"/>
      <s:c r="F29" s="57"/>
      <s:c r="G29" s="57"/>
    </s:row>
    <s:row r="30" s="7" customFormat="1" ht="14.25">
      <s:c r="A30" s="514"/>
      <s:c r="B30" s="162" t="s">
        <s:v>266</s:v>
      </s:c>
      <s:c r="C30" s="592"/>
      <s:c r="D30" s="619"/>
      <s:c r="E30" s="467"/>
      <s:c r="F30" s="163"/>
      <s:c r="G30" s="163"/>
      <s:c r="H30" s="49"/>
      <s:c r="I30" s="49"/>
      <s:c r="J30" s="49"/>
      <s:c r="K30" s="49"/>
      <s:c r="L30" s="49"/>
      <s:c r="M30" s="49"/>
      <s:c r="N30" s="49"/>
      <s:c r="O30" s="49"/>
      <s:c r="P30" s="49"/>
      <s:c r="Q30" s="49"/>
      <s:c r="R30" s="49"/>
      <s:c r="S30" s="49"/>
      <s:c r="T30" s="49"/>
      <s:c r="U30" s="49"/>
      <s:c r="V30" s="49"/>
      <s:c r="W30" s="49"/>
      <s:c r="X30" s="49"/>
      <s:c r="Y30" s="49"/>
      <s:c r="Z30" s="49"/>
      <s:c r="AA30" s="49"/>
    </s:row>
    <s:row r="31" s="204" ht="14.25">
      <s:c r="A31" s="0" t="s">
        <s:v>457</s:v>
      </s:c>
      <s:c r="B31" s="61" t="s">
        <s:v>536</s:v>
      </s:c>
      <s:c r="C31" s="591" t="s">
        <s:v>545</s:v>
      </s:c>
      <s:c r="D31" s="600">
        <s:v>3</s:v>
      </s:c>
      <s:c r="E31" s="640"/>
      <s:c r="F31" s="0"/>
      <s:c r="G31" s="0"/>
      <s:c r="H31" s="0"/>
      <s:c r="I31" s="0"/>
      <s:c r="J31" s="0"/>
      <s:c r="K31" s="0"/>
      <s:c r="L31" s="0"/>
      <s:c r="M31" s="0"/>
      <s:c r="N31" s="0"/>
      <s:c r="O31" s="0"/>
      <s:c r="P31" s="0"/>
      <s:c r="Q31" s="0"/>
      <s:c r="R31" s="0"/>
      <s:c r="S31" s="0"/>
      <s:c r="T31" s="0"/>
      <s:c r="U31" s="0"/>
      <s:c r="V31" s="0"/>
      <s:c r="W31" s="0"/>
      <s:c r="X31" s="0"/>
      <s:c r="Y31" s="0"/>
      <s:c r="Z31" s="0"/>
      <s:c r="AA31" s="0"/>
    </s:row>
    <s:row r="32" s="204" customFormat="1" ht="14.25">
      <s:c r="A32" s="0" t="s">
        <s:v>458</s:v>
      </s:c>
      <s:c r="B32" s="0" t="s">
        <s:v>539</s:v>
      </s:c>
      <s:c r="C32" s="0" t="s">
        <s:v>545</s:v>
      </s:c>
      <s:c r="D32" s="606">
        <s:v>2</s:v>
      </s:c>
      <s:c r="E32" s="640"/>
      <s:c r="F32" s="0"/>
      <s:c r="G32" s="0"/>
      <s:c r="H32" s="0"/>
      <s:c r="I32" s="0"/>
      <s:c r="J32" s="0"/>
      <s:c r="K32" s="0"/>
      <s:c r="L32" s="0"/>
      <s:c r="M32" s="0"/>
      <s:c r="N32" s="0"/>
      <s:c r="O32" s="0"/>
      <s:c r="P32" s="0"/>
      <s:c r="Q32" s="0"/>
      <s:c r="R32" s="0"/>
      <s:c r="S32" s="0"/>
      <s:c r="T32" s="0"/>
      <s:c r="U32" s="0"/>
      <s:c r="V32" s="0"/>
      <s:c r="W32" s="0"/>
      <s:c r="X32" s="0"/>
      <s:c r="Y32" s="0"/>
      <s:c r="Z32" s="0"/>
      <s:c r="AA32" s="0"/>
    </s:row>
    <s:row r="33">
      <s:c r="A33" s="515" t="s">
        <s:v>459</s:v>
      </s:c>
      <s:c r="B33" s="61" t="s">
        <s:v>541</s:v>
      </s:c>
      <s:c r="C33" s="591" t="s">
        <s:v>542</s:v>
      </s:c>
      <s:c r="D33" s="600">
        <s:v>12</s:v>
      </s:c>
      <s:c r="E33" s="640"/>
      <s:c r="F33" s="57"/>
      <s:c r="G33" s="57"/>
    </s:row>
    <s:row r="34">
      <s:c r="A34" s="512"/>
      <s:c r="B34" s="61"/>
      <s:c r="C34" s="591"/>
      <s:c r="D34" s="600"/>
      <s:c r="E34" s="466"/>
      <s:c r="F34" s="57"/>
      <s:c r="G34" s="57"/>
    </s:row>
    <s:row r="35" s="7" customFormat="1" ht="14.25">
      <s:c r="A35" s="513"/>
      <s:c r="B35" s="48" t="s">
        <s:v>77</s:v>
      </s:c>
      <s:c r="C35" s="55"/>
      <s:c r="D35" s="619"/>
      <s:c r="E35" s="467"/>
      <s:c r="F35" s="49"/>
      <s:c r="G35" s="49"/>
      <s:c r="H35" s="49"/>
      <s:c r="I35" s="49"/>
      <s:c r="J35" s="49"/>
      <s:c r="K35" s="49"/>
      <s:c r="L35" s="49"/>
      <s:c r="M35" s="49"/>
      <s:c r="N35" s="49"/>
      <s:c r="O35" s="49"/>
      <s:c r="P35" s="49"/>
      <s:c r="Q35" s="49"/>
      <s:c r="R35" s="49"/>
      <s:c r="S35" s="49"/>
      <s:c r="T35" s="49"/>
      <s:c r="U35" s="49"/>
      <s:c r="V35" s="49"/>
      <s:c r="W35" s="49"/>
      <s:c r="X35" s="49"/>
      <s:c r="Y35" s="49"/>
      <s:c r="Z35" s="49"/>
      <s:c r="AA35" s="49"/>
    </s:row>
    <s:row r="36" ht="14.25">
      <s:c r="A36" s="512" t="s">
        <s:v>451</s:v>
      </s:c>
      <s:c r="B36" s="61" t="s">
        <s:v>79</s:v>
      </s:c>
      <s:c r="C36" s="591" t="s">
        <s:v>65</s:v>
      </s:c>
      <s:c r="D36" s="600"/>
      <s:c r="E36" s="466">
        <s:v>2500</s:v>
      </s:c>
      <s:c r="F36" s="57" t="s">
        <s:v>80</s:v>
      </s:c>
      <s:c r="G36" s="57" t="s">
        <s:v>81</s:v>
      </s:c>
    </s:row>
    <s:row r="37" ht="14.25">
      <s:c r="A37" s="512" t="s">
        <s:v>452</s:v>
      </s:c>
      <s:c r="B37" s="61" t="s">
        <s:v>82</s:v>
      </s:c>
      <s:c r="C37" s="591" t="s">
        <s:v>83</s:v>
      </s:c>
      <s:c r="D37" s="600"/>
      <s:c r="E37" s="466">
        <s:v>25000</s:v>
      </s:c>
      <s:c r="F37" s="57" t="s">
        <s:v>84</s:v>
      </s:c>
      <s:c r="G37" s="57" t="s">
        <s:v>85</s:v>
      </s:c>
    </s:row>
    <s:row r="38" ht="14.25">
      <s:c r="A38" s="512" t="s">
        <s:v>453</s:v>
      </s:c>
      <s:c r="B38" s="61" t="s">
        <s:v>86</s:v>
      </s:c>
      <s:c r="C38" s="591" t="s">
        <s:v>65</s:v>
      </s:c>
      <s:c r="D38" s="600"/>
      <s:c r="E38" s="466">
        <s:v>500</s:v>
      </s:c>
      <s:c r="F38" s="57" t="s">
        <s:v>87</s:v>
      </s:c>
      <s:c r="G38" s="57" t="s">
        <s:v>88</s:v>
      </s:c>
    </s:row>
    <s:row r="39" ht="14.25">
      <s:c r="A39" s="512" t="s">
        <s:v>455</s:v>
      </s:c>
      <s:c r="B39" s="61" t="s">
        <s:v>89</s:v>
      </s:c>
      <s:c r="C39" s="591" t="s">
        <s:v>65</s:v>
      </s:c>
      <s:c r="D39" s="600"/>
      <s:c r="E39" s="466">
        <s:v>500</s:v>
      </s:c>
      <s:c r="F39" s="57" t="s">
        <s:v>90</s:v>
      </s:c>
      <s:c r="G39" s="57" t="s">
        <s:v>91</s:v>
      </s:c>
    </s:row>
    <s:row r="40" ht="50.25">
      <s:c r="A40" s="512" t="s">
        <s:v>454</s:v>
      </s:c>
      <s:c r="B40" s="61" t="s">
        <s:v>535</s:v>
      </s:c>
      <s:c r="C40" s="591" t="s">
        <s:v>65</s:v>
      </s:c>
      <s:c r="D40" s="600"/>
      <s:c r="E40" s="466">
        <s:v>1500</s:v>
      </s:c>
      <s:c r="F40" s="57" t="s">
        <s:v>523</s:v>
      </s:c>
      <s:c r="G40" s="57" t="s">
        <s:v>94</s:v>
      </s:c>
    </s:row>
    <s:row r="41" ht="14.25">
      <s:c r="A41" s="512"/>
      <s:c r="B41" s="0"/>
      <s:c r="C41" s="0"/>
      <s:c r="D41" s="606"/>
      <s:c r="E41" s="640"/>
      <s:c r="F41" s="57"/>
      <s:c r="G41" s="57"/>
    </s:row>
    <s:row r="42" ht="14.25">
      <s:c r="A42" s="512"/>
      <s:c r="B42" s="61"/>
      <s:c r="C42" s="591"/>
      <s:c r="D42" s="600"/>
      <s:c r="E42" s="466"/>
      <s:c r="F42" s="57"/>
      <s:c r="G42" s="57"/>
    </s:row>
    <s:row r="43" ht="14.25">
      <s:c r="A43" s="512"/>
      <s:c r="B43" s="61"/>
      <s:c r="C43" s="591"/>
      <s:c r="D43" s="600"/>
      <s:c r="E43" s="466"/>
      <s:c r="F43" s="57"/>
      <s:c r="G43" s="57"/>
    </s:row>
    <s:row r="44" s="7" customFormat="1" ht="14.25">
      <s:c r="A44" s="513"/>
      <s:c r="B44" s="48" t="s">
        <s:v>433</s:v>
      </s:c>
      <s:c r="C44" s="55"/>
      <s:c r="D44" s="619"/>
      <s:c r="E44" s="467"/>
      <s:c r="F44" s="49"/>
      <s:c r="G44" s="49"/>
      <s:c r="H44" s="49"/>
      <s:c r="I44" s="49"/>
      <s:c r="J44" s="49"/>
      <s:c r="K44" s="49"/>
      <s:c r="L44" s="49"/>
      <s:c r="M44" s="49"/>
      <s:c r="N44" s="49"/>
      <s:c r="O44" s="49"/>
      <s:c r="P44" s="49"/>
      <s:c r="Q44" s="49"/>
      <s:c r="R44" s="49"/>
      <s:c r="S44" s="49"/>
      <s:c r="T44" s="49"/>
      <s:c r="U44" s="49"/>
      <s:c r="V44" s="49"/>
      <s:c r="W44" s="49"/>
      <s:c r="X44" s="49"/>
      <s:c r="Y44" s="49"/>
      <s:c r="Z44" s="49"/>
      <s:c r="AA44" s="49"/>
    </s:row>
    <s:row r="45" ht="14.25">
      <s:c r="A45" s="512" t="s">
        <s:v>445</s:v>
      </s:c>
      <s:c r="B45" s="61" t="s">
        <s:v>99</s:v>
      </s:c>
      <s:c r="C45" s="591" t="s">
        <s:v>100</s:v>
      </s:c>
      <s:c r="D45" s="600"/>
      <s:c r="E45" s="466">
        <s:v>4500</s:v>
      </s:c>
      <s:c r="F45" s="57" t="s">
        <s:v>102</s:v>
      </s:c>
      <s:c r="G45" s="57" t="s">
        <s:v>103</s:v>
      </s:c>
    </s:row>
    <s:row r="46" ht="14.25">
      <s:c r="A46" s="512" t="s">
        <s:v>446</s:v>
      </s:c>
      <s:c r="B46" s="61" t="s">
        <s:v>109</s:v>
      </s:c>
      <s:c r="C46" s="591" t="s">
        <s:v>110</s:v>
      </s:c>
      <s:c r="D46" s="600">
        <s:v>5</s:v>
      </s:c>
      <s:c r="E46" s="466">
        <s:v>500</s:v>
      </s:c>
      <s:c r="F46" s="57" t="s">
        <s:v>111</s:v>
      </s:c>
      <s:c r="G46" s="57" t="s">
        <s:v>112</s:v>
      </s:c>
    </s:row>
    <s:row r="47" ht="14.25">
      <s:c r="A47" s="512" t="s">
        <s:v>447</s:v>
      </s:c>
      <s:c r="B47" s="62" t="s">
        <s:v>113</s:v>
      </s:c>
      <s:c r="C47" s="591" t="s">
        <s:v>100</s:v>
      </s:c>
      <s:c r="D47" s="600"/>
      <s:c r="E47" s="466">
        <s:v>15000</s:v>
      </s:c>
      <s:c r="F47" s="57" t="s">
        <s:v>114</s:v>
      </s:c>
      <s:c r="G47" s="57" t="s">
        <s:v>115</s:v>
      </s:c>
    </s:row>
    <s:row r="48" ht="14.25">
      <s:c r="A48" s="512" t="s">
        <s:v>448</s:v>
      </s:c>
      <s:c r="B48" s="61" t="s">
        <s:v>116</s:v>
      </s:c>
      <s:c r="C48" s="591" t="s">
        <s:v>100</s:v>
      </s:c>
      <s:c r="D48" s="600"/>
      <s:c r="E48" s="466">
        <s:v>50000</s:v>
      </s:c>
      <s:c r="F48" s="57" t="s">
        <s:v>117</s:v>
      </s:c>
      <s:c r="G48" s="57" t="s">
        <s:v>115</s:v>
      </s:c>
    </s:row>
    <s:row r="49" ht="14.25">
      <s:c r="A49" s="512"/>
      <s:c r="B49" s="61"/>
      <s:c r="C49" s="591"/>
      <s:c r="D49" s="600"/>
      <s:c r="E49" s="466"/>
      <s:c r="F49" s="57"/>
      <s:c r="G49" s="57"/>
    </s:row>
    <s:row r="50" s="7" customFormat="1" ht="26.25">
      <s:c r="A50" s="513"/>
      <s:c r="B50" s="48" t="s">
        <s:v>118</s:v>
      </s:c>
      <s:c r="C50" s="55"/>
      <s:c r="D50" s="619"/>
      <s:c r="E50" s="467"/>
      <s:c r="F50" s="49"/>
      <s:c r="G50" s="49"/>
      <s:c r="H50" s="49"/>
      <s:c r="I50" s="49"/>
      <s:c r="J50" s="49"/>
      <s:c r="K50" s="49"/>
      <s:c r="L50" s="49"/>
      <s:c r="M50" s="49"/>
      <s:c r="N50" s="49"/>
      <s:c r="O50" s="49"/>
      <s:c r="P50" s="49"/>
      <s:c r="Q50" s="49"/>
      <s:c r="R50" s="49"/>
      <s:c r="S50" s="49"/>
      <s:c r="T50" s="49"/>
      <s:c r="U50" s="49"/>
      <s:c r="V50" s="49"/>
      <s:c r="W50" s="49"/>
      <s:c r="X50" s="49"/>
      <s:c r="Y50" s="49"/>
      <s:c r="Z50" s="49"/>
      <s:c r="AA50" s="49"/>
    </s:row>
    <s:row r="51" ht="14.25">
      <s:c r="A51" s="512" t="s">
        <s:v>486</s:v>
      </s:c>
      <s:c r="B51" s="61" t="s">
        <s:v>119</s:v>
      </s:c>
      <s:c r="C51" s="591" t="s">
        <s:v>120</s:v>
      </s:c>
      <s:c r="D51" s="600"/>
      <s:c r="E51" s="466">
        <s:v>3000</s:v>
      </s:c>
      <s:c r="F51" s="57" t="s">
        <s:v>121</s:v>
      </s:c>
      <s:c r="G51" s="57" t="s">
        <s:v>122</s:v>
      </s:c>
    </s:row>
    <s:row r="52" ht="14.25">
      <s:c r="A52" s="512" t="s">
        <s:v>487</s:v>
      </s:c>
      <s:c r="B52" s="61" t="s">
        <s:v>123</s:v>
      </s:c>
      <s:c r="C52" s="591" t="s">
        <s:v>120</s:v>
      </s:c>
      <s:c r="D52" s="600"/>
      <s:c r="E52" s="466">
        <s:v>3000</s:v>
      </s:c>
      <s:c r="F52" s="57" t="s">
        <s:v>121</s:v>
      </s:c>
      <s:c r="G52" s="57" t="s">
        <s:v>124</s:v>
      </s:c>
    </s:row>
    <s:row r="53" ht="14.25">
      <s:c r="A53" s="512" t="s">
        <s:v>488</s:v>
      </s:c>
      <s:c r="B53" s="61" t="s">
        <s:v>125</s:v>
      </s:c>
      <s:c r="C53" s="591" t="s">
        <s:v>120</s:v>
      </s:c>
      <s:c r="D53" s="600"/>
      <s:c r="E53" s="466">
        <s:v>3000</s:v>
      </s:c>
      <s:c r="F53" s="57" t="s">
        <s:v>121</s:v>
      </s:c>
      <s:c r="G53" s="57" t="s">
        <s:v>126</s:v>
      </s:c>
    </s:row>
    <s:row r="54" ht="14.25">
      <s:c r="A54" s="512" t="s">
        <s:v>489</s:v>
      </s:c>
      <s:c r="B54" s="61" t="s">
        <s:v>127</s:v>
      </s:c>
      <s:c r="C54" s="591" t="s">
        <s:v>128</s:v>
      </s:c>
      <s:c r="D54" s="600"/>
      <s:c r="E54" s="466">
        <s:v>500000</s:v>
      </s:c>
      <s:c r="F54" s="57" t="s">
        <s:v>129</s:v>
      </s:c>
      <s:c r="G54" s="57" t="s">
        <s:v>130</s:v>
      </s:c>
    </s:row>
    <s:row r="55" ht="14.25">
      <s:c r="A55" s="512" t="s">
        <s:v>490</s:v>
      </s:c>
      <s:c r="B55" s="61" t="s">
        <s:v>131</s:v>
      </s:c>
      <s:c r="C55" s="591" t="s">
        <s:v>132</s:v>
      </s:c>
      <s:c r="D55" s="600"/>
      <s:c r="E55" s="466">
        <s:v>10000</s:v>
      </s:c>
      <s:c r="F55" s="57" t="s">
        <s:v>133</s:v>
      </s:c>
      <s:c r="G55" s="57" t="s">
        <s:v>423</s:v>
      </s:c>
    </s:row>
    <s:row r="56" ht="14.25">
      <s:c r="A56" s="512"/>
      <s:c r="B56" s="61"/>
      <s:c r="C56" s="591"/>
      <s:c r="D56" s="600"/>
      <s:c r="E56" s="466"/>
      <s:c r="F56" s="57"/>
      <s:c r="G56" s="57"/>
    </s:row>
    <s:row r="57" s="7" customFormat="1" ht="14.25">
      <s:c r="A57" s="513"/>
      <s:c r="B57" s="48" t="s">
        <s:v>135</s:v>
      </s:c>
      <s:c r="C57" s="55"/>
      <s:c r="D57" s="619"/>
      <s:c r="E57" s="467"/>
      <s:c r="F57" s="49"/>
      <s:c r="G57" s="49"/>
      <s:c r="H57" s="49"/>
      <s:c r="I57" s="49"/>
      <s:c r="J57" s="49"/>
      <s:c r="K57" s="49"/>
      <s:c r="L57" s="49"/>
      <s:c r="M57" s="49"/>
      <s:c r="N57" s="49"/>
      <s:c r="O57" s="49"/>
      <s:c r="P57" s="49"/>
      <s:c r="Q57" s="49"/>
      <s:c r="R57" s="49"/>
      <s:c r="S57" s="49"/>
      <s:c r="T57" s="49"/>
      <s:c r="U57" s="49"/>
      <s:c r="V57" s="49"/>
      <s:c r="W57" s="49"/>
      <s:c r="X57" s="49"/>
      <s:c r="Y57" s="49"/>
      <s:c r="Z57" s="49"/>
      <s:c r="AA57" s="49"/>
    </s:row>
    <s:row r="58" ht="14.25">
      <s:c r="A58" s="512" t="s">
        <s:v>498</s:v>
      </s:c>
      <s:c r="B58" s="61" t="s">
        <s:v>136</s:v>
      </s:c>
      <s:c r="C58" s="591" t="s">
        <s:v>100</s:v>
      </s:c>
      <s:c r="D58" s="600"/>
      <s:c r="E58" s="466">
        <s:v>2500</s:v>
      </s:c>
      <s:c r="F58" s="57" t="s">
        <s:v>137</s:v>
      </s:c>
      <s:c r="G58" s="57" t="s">
        <s:v>138</s:v>
      </s:c>
    </s:row>
    <s:row r="59" ht="14.25">
      <s:c r="A59" s="512" t="s">
        <s:v>499</s:v>
      </s:c>
      <s:c r="B59" s="61" t="s">
        <s:v>139</s:v>
      </s:c>
      <s:c r="C59" s="591" t="s">
        <s:v>100</s:v>
      </s:c>
      <s:c r="D59" s="600"/>
      <s:c r="E59" s="466">
        <s:v>1000</s:v>
      </s:c>
      <s:c r="F59" s="57" t="s">
        <s:v>140</s:v>
      </s:c>
      <s:c r="G59" s="57" t="s">
        <s:v>141</s:v>
      </s:c>
    </s:row>
    <s:row r="60" ht="14.25">
      <s:c r="A60" s="512"/>
      <s:c r="B60" s="61"/>
      <s:c r="C60" s="591"/>
      <s:c r="D60" s="600"/>
      <s:c r="E60" s="466"/>
      <s:c r="F60" s="57"/>
      <s:c r="G60" s="57"/>
    </s:row>
    <s:row r="61" s="7" customFormat="1" ht="14.25">
      <s:c r="A61" s="513"/>
      <s:c r="B61" s="48" t="s">
        <s:v>142</s:v>
      </s:c>
      <s:c r="C61" s="55"/>
      <s:c r="D61" s="619"/>
      <s:c r="E61" s="467"/>
      <s:c r="F61" s="49"/>
      <s:c r="G61" s="49"/>
      <s:c r="H61" s="49"/>
      <s:c r="I61" s="49"/>
      <s:c r="J61" s="49"/>
      <s:c r="K61" s="49"/>
      <s:c r="L61" s="49"/>
      <s:c r="M61" s="49"/>
      <s:c r="N61" s="49"/>
      <s:c r="O61" s="49"/>
      <s:c r="P61" s="49"/>
      <s:c r="Q61" s="49"/>
      <s:c r="R61" s="49"/>
      <s:c r="S61" s="49"/>
      <s:c r="T61" s="49"/>
      <s:c r="U61" s="49"/>
      <s:c r="V61" s="49"/>
      <s:c r="W61" s="49"/>
      <s:c r="X61" s="49"/>
      <s:c r="Y61" s="49"/>
      <s:c r="Z61" s="49"/>
      <s:c r="AA61" s="49"/>
    </s:row>
    <s:row r="62" ht="14.25">
      <s:c r="A62" s="512" t="s">
        <s:v>500</s:v>
      </s:c>
      <s:c r="B62" s="61" t="s">
        <s:v>143</s:v>
      </s:c>
      <s:c r="C62" s="591" t="s">
        <s:v>8</s:v>
      </s:c>
      <s:c r="D62" s="600"/>
      <s:c r="E62" s="466">
        <s:v>5000</s:v>
      </s:c>
      <s:c r="F62" s="57" t="s">
        <s:v>144</s:v>
      </s:c>
      <s:c r="G62" s="57" t="s">
        <s:v>145</s:v>
      </s:c>
    </s:row>
    <s:row r="63" ht="14.25">
      <s:c r="A63" s="512" t="s">
        <s:v>501</s:v>
      </s:c>
      <s:c r="B63" s="61" t="s">
        <s:v>146</s:v>
      </s:c>
      <s:c r="C63" s="591" t="s">
        <s:v>65</s:v>
      </s:c>
      <s:c r="D63" s="600"/>
      <s:c r="E63" s="466">
        <s:v>50000</s:v>
      </s:c>
      <s:c r="F63" s="57" t="s">
        <s:v>147</s:v>
      </s:c>
      <s:c r="G63" s="57" t="s">
        <s:v>148</s:v>
      </s:c>
    </s:row>
    <s:row r="64" ht="14.25">
      <s:c r="A64" s="512" t="s">
        <s:v>502</s:v>
      </s:c>
      <s:c r="B64" s="61" t="s">
        <s:v>149</s:v>
      </s:c>
      <s:c r="C64" s="591" t="s">
        <s:v>65</s:v>
      </s:c>
      <s:c r="D64" s="600"/>
      <s:c r="E64" s="466">
        <s:v>5000</s:v>
      </s:c>
      <s:c r="F64" s="57" t="s">
        <s:v>150</s:v>
      </s:c>
      <s:c r="G64" s="57" t="s">
        <s:v>151</s:v>
      </s:c>
    </s:row>
    <s:row r="65" ht="14.25">
      <s:c r="A65" s="512"/>
      <s:c r="B65" s="61"/>
      <s:c r="C65" s="591"/>
      <s:c r="D65" s="600"/>
      <s:c r="E65" s="466"/>
      <s:c r="F65" s="57"/>
      <s:c r="G65" s="57"/>
    </s:row>
    <s:row r="66" ht="14.25">
      <s:c r="A66" s="512"/>
      <s:c r="B66" s="57"/>
      <s:c r="C66" s="591"/>
      <s:c r="D66" s="600"/>
      <s:c r="E66" s="466"/>
    </s:row>
    <s:row r="67" s="17" customFormat="1" ht="14.25">
      <s:c r="A67" s="517"/>
      <s:c r="B67" s="63"/>
      <s:c r="C67" s="594"/>
      <s:c r="D67" s="618"/>
      <s:c r="E67" s="470"/>
      <s:c r="F67" s="77"/>
      <s:c r="G67" s="77"/>
      <s:c r="H67" s="77"/>
      <s:c r="I67" s="77"/>
      <s:c r="J67" s="77"/>
      <s:c r="K67" s="77"/>
      <s:c r="L67" s="77"/>
      <s:c r="M67" s="77"/>
      <s:c r="N67" s="77"/>
      <s:c r="O67" s="77"/>
      <s:c r="P67" s="77"/>
      <s:c r="Q67" s="77"/>
      <s:c r="R67" s="77"/>
      <s:c r="S67" s="77"/>
      <s:c r="T67" s="77"/>
      <s:c r="U67" s="77"/>
      <s:c r="V67" s="77"/>
      <s:c r="W67" s="77"/>
      <s:c r="X67" s="77"/>
      <s:c r="Y67" s="77"/>
      <s:c r="Z67" s="77"/>
      <s:c r="AA67" s="77"/>
    </s:row>
    <s:row r="68" s="17" customFormat="1" ht="14.25">
      <s:c r="A68" s="517"/>
      <s:c r="B68" s="63"/>
      <s:c r="C68" s="595"/>
      <s:c r="D68" s="618"/>
      <s:c r="E68" s="470"/>
      <s:c r="F68" s="77"/>
      <s:c r="G68" s="77"/>
      <s:c r="H68" s="77"/>
      <s:c r="I68" s="77"/>
      <s:c r="J68" s="77"/>
      <s:c r="K68" s="77"/>
      <s:c r="L68" s="77"/>
      <s:c r="M68" s="77"/>
      <s:c r="N68" s="77"/>
      <s:c r="O68" s="77"/>
      <s:c r="P68" s="77"/>
      <s:c r="Q68" s="77"/>
      <s:c r="R68" s="77"/>
      <s:c r="S68" s="77"/>
      <s:c r="T68" s="77"/>
      <s:c r="U68" s="77"/>
      <s:c r="V68" s="77"/>
      <s:c r="W68" s="77"/>
      <s:c r="X68" s="77"/>
      <s:c r="Y68" s="77"/>
      <s:c r="Z68" s="77"/>
      <s:c r="AA68" s="77"/>
    </s:row>
    <s:row r="69" s="17" customFormat="1" ht="14.25">
      <s:c r="A69" s="517"/>
      <s:c r="B69" s="63"/>
      <s:c r="C69" s="595"/>
      <s:c r="D69" s="618"/>
      <s:c r="E69" s="470"/>
      <s:c r="F69" s="77"/>
      <s:c r="G69" s="77"/>
      <s:c r="H69" s="77"/>
      <s:c r="I69" s="77"/>
      <s:c r="J69" s="77"/>
      <s:c r="K69" s="77"/>
      <s:c r="L69" s="77"/>
      <s:c r="M69" s="77"/>
      <s:c r="N69" s="77"/>
      <s:c r="O69" s="77"/>
      <s:c r="P69" s="77"/>
      <s:c r="Q69" s="77"/>
      <s:c r="R69" s="77"/>
      <s:c r="S69" s="77"/>
      <s:c r="T69" s="77"/>
      <s:c r="U69" s="77"/>
      <s:c r="V69" s="77"/>
      <s:c r="W69" s="77"/>
      <s:c r="X69" s="77"/>
      <s:c r="Y69" s="77"/>
      <s:c r="Z69" s="77"/>
      <s:c r="AA69" s="77"/>
    </s:row>
    <s:row r="70" ht="14.25">
      <s:c r="A70" s="518"/>
      <s:c r="B70" s="57"/>
      <s:c r="C70" s="591"/>
      <s:c r="D70" s="622"/>
      <s:c r="E70" s="471"/>
    </s:row>
    <s:row r="71" ht="14.25">
      <s:c r="A71" s="518"/>
      <s:c r="B71" s="69"/>
      <s:c r="C71" s="591"/>
      <s:c r="D71" s="622"/>
      <s:c r="E71" s="471"/>
    </s:row>
    <s:row r="72" ht="14.25">
      <s:c r="A72" s="518"/>
      <s:c r="B72" s="57"/>
      <s:c r="C72" s="591"/>
      <s:c r="D72" s="622"/>
      <s:c r="E72" s="471"/>
    </s:row>
    <s:row r="73" ht="14.25">
      <s:c r="A73" s="518"/>
      <s:c r="B73" s="57"/>
      <s:c r="C73" s="591"/>
      <s:c r="D73" s="622"/>
      <s:c r="E73" s="471"/>
    </s:row>
    <s:row r="74" ht="14.25">
      <s:c r="A74" s="518"/>
      <s:c r="B74" s="70"/>
      <s:c r="C74" s="596"/>
      <s:c r="D74" s="622"/>
      <s:c r="E74" s="471"/>
    </s:row>
  </s:sheetData>
  <s:hyperlinks>
    <s:hyperlink ref="F54" r:id="rId25"/>
    <s:hyperlink ref="G63" r:id="rId26"/>
    <s:hyperlink ref="F28" r:id="rId27"/>
  </s:hyperlinks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>
      <s:pane ySplit="1" topLeftCell="A2" activePane="bottomLeft" state="frozen"/>
    </s:sheetView>
  </s:sheetViews>
  <s:sheetFormatPr baseColWidth="13" defaultColWidth="13.4" defaultRowHeight="14.25" customHeight="1"/>
  <s:cols>
    <s:col min="1" max="1" width="47.074" customWidth="1"/>
    <s:col min="2" max="2" width="26.973" customWidth="1"/>
    <s:col min="3" max="3" width="15.102" style="121" customWidth="1"/>
    <s:col min="4" max="4" width="17.262" style="121" customWidth="1"/>
    <s:col min="5" max="5" width="17.262" style="121" customWidth="1"/>
    <s:col min="6" max="6" width="17.262" style="121" customWidth="1"/>
  </s:cols>
  <s:sheetData>
    <s:row r="1" ht="23.25">
      <s:c r="A1" s="225" t="s">
        <s:v>546</s:v>
      </s:c>
    </s:row>
    <s:row r="2" ht="20.25">
      <s:c r="A2" s="641" t="s">
        <s:v>550</s:v>
      </s:c>
    </s:row>
    <s:row r="3" s="127" customFormat="1">
      <s:c r="A3" s="414" t="s">
        <s:v>1</s:v>
      </s:c>
      <s:c r="B3" s="414" t="s">
        <s:v>319</s:v>
      </s:c>
      <s:c r="C3" s="645" t="s">
        <s:v>548</s:v>
      </s:c>
      <s:c r="D3" s="645" t="s">
        <s:v>321</s:v>
      </s:c>
      <s:c r="E3" s="645" t="s">
        <s:v>322</s:v>
      </s:c>
      <s:c r="F3" s="645" t="s">
        <s:v>323</s:v>
      </s:c>
    </s:row>
    <s:row r="4">
      <s:c r="A4" s="81">
        <s:v>1</s:v>
      </s:c>
      <s:c r="B4" s="81" t="s">
        <s:v>302</s:v>
      </s:c>
      <s:c r="C4" s="646">
        <s:f validation_="true">'Исходные данне'!E5</s:f>
        <s:v>120000</s:v>
      </s:c>
      <s:c r="D4" s="646">
        <s:f validation_="true">C4*0.7</s:f>
        <s:v>84000</s:v>
      </s:c>
      <s:c r="E4" s="646">
        <s:f validation_="true">C4*0.45</s:f>
        <s:v>54000</s:v>
      </s:c>
      <s:c r="F4" s="646">
        <s:f validation_="true">C4*0.15</s:f>
        <s:v>18000</s:v>
      </s:c>
    </s:row>
    <s:row r="5">
      <s:c r="A5" s="86">
        <s:v>2</s:v>
      </s:c>
      <s:c r="B5" s="86" t="s">
        <s:v>326</s:v>
      </s:c>
      <s:c r="C5" s="647">
        <s:f validation_="true">'Исходные данне'!E8</s:f>
        <s:v>36500</s:v>
      </s:c>
      <s:c r="D5" s="647">
        <s:f validation_="true">C5*0.7</s:f>
        <s:v>25550</s:v>
      </s:c>
      <s:c r="E5" s="647">
        <s:f validation_="true">C5*0.45</s:f>
        <s:v>16425</s:v>
      </s:c>
      <s:c r="F5" s="647">
        <s:f validation_="true">C5*0.15</s:f>
        <s:v>5475</s:v>
      </s:c>
    </s:row>
    <s:row r="6">
      <s:c r="A6" s="89">
        <s:v>3</s:v>
      </s:c>
      <s:c r="B6" s="89" t="s">
        <s:v>23</s:v>
      </s:c>
      <s:c r="C6" s="648">
        <s:f validation_="true">'Исходные данне'!E10</s:f>
        <s:v>46330</s:v>
      </s:c>
      <s:c r="D6" s="648">
        <s:f validation_="true">C6*0.7</s:f>
        <s:v>32430.9999999999</s:v>
      </s:c>
      <s:c r="E6" s="648">
        <s:f validation_="true">C6*0.45</s:f>
        <s:v>20848.5</s:v>
      </s:c>
      <s:c r="F6" s="648">
        <s:f validation_="true">C6*0.15</s:f>
        <s:v>6949.5</s:v>
      </s:c>
    </s:row>
    <s:row r="7">
      <s:c r="A7" s="86">
        <s:v>4</s:v>
      </s:c>
      <s:c r="B7" s="86" t="s">
        <s:v>32</s:v>
      </s:c>
      <s:c r="C7" s="647">
        <s:f validation_="true">'Исходные данне'!E13</s:f>
        <s:v>25000</s:v>
      </s:c>
      <s:c r="D7" s="647">
        <s:f validation_="true">C7*0.7</s:f>
        <s:v>17500</s:v>
      </s:c>
      <s:c r="E7" s="647">
        <s:f validation_="true">C7*0.45</s:f>
        <s:v>11250</s:v>
      </s:c>
      <s:c r="F7" s="647">
        <s:f validation_="true">C7*0.15</s:f>
        <s:v>3750</s:v>
      </s:c>
    </s:row>
    <s:row r="8">
      <s:c r="A8" s="86">
        <s:v/>
      </s:c>
      <s:c r="B8" s="91" t="s">
        <s:v>330</s:v>
      </s:c>
      <s:c r="C8" s="649">
        <s:f validation_="true">SUM(C4:C7)</s:f>
        <s:v>227830</s:v>
      </s:c>
      <s:c r="D8" s="649">
        <s:f validation_="true">SUM(D4:D7)</s:f>
        <s:v>159480.999999999</s:v>
      </s:c>
      <s:c r="E8" s="649">
        <s:f validation_="true">SUM(E4:E7)</s:f>
        <s:v>102523.5</s:v>
      </s:c>
      <s:c r="F8" s="649">
        <s:f validation_="true">SUM(F4:F7)</s:f>
        <s:v>34174.5</s:v>
      </s:c>
    </s:row>
    <s:row r="13">
      <s:c r="A13" s="641" t="s">
        <s:v>549</s:v>
      </s:c>
    </s:row>
    <s:row r="14" s="127" customFormat="1">
      <s:c r="A14" s="414" t="s">
        <s:v>1</s:v>
      </s:c>
      <s:c r="B14" s="414" t="s">
        <s:v>319</s:v>
      </s:c>
      <s:c r="C14" s="645" t="s">
        <s:v>548</s:v>
      </s:c>
      <s:c r="D14" s="645" t="s">
        <s:v>321</s:v>
      </s:c>
      <s:c r="E14" s="645" t="s">
        <s:v>322</s:v>
      </s:c>
      <s:c r="F14" s="645" t="s">
        <s:v>323</s:v>
      </s:c>
    </s:row>
    <s:row r="15">
      <s:c r="A15" s="81">
        <s:v>1</s:v>
      </s:c>
      <s:c r="B15" s="81" t="s">
        <s:v>20</s:v>
      </s:c>
      <s:c r="C15" s="646">
        <s:f validation_="true">'Исходные данне'!E9</s:f>
        <s:v>25000</s:v>
      </s:c>
      <s:c r="D15" s="646">
        <s:f validation_="true">C15*0.7</s:f>
        <s:v>17500</s:v>
      </s:c>
      <s:c r="E15" s="646">
        <s:f validation_="true">C15*0.45</s:f>
        <s:v>11250</s:v>
      </s:c>
      <s:c r="F15" s="646">
        <s:f validation_="true">C15*0.15</s:f>
        <s:v>3750</s:v>
      </s:c>
    </s:row>
    <s:row r="16">
      <s:c r="A16" s="86">
        <s:v>2</s:v>
      </s:c>
      <s:c r="B16" s="86" t="s">
        <s:v>23</s:v>
      </s:c>
      <s:c r="C16" s="647">
        <s:f validation_="true">'Исходные данне'!E10</s:f>
        <s:v>46330</s:v>
      </s:c>
      <s:c r="D16" s="647">
        <s:f validation_="true">C16*0.7</s:f>
        <s:v>32430.9999999999</s:v>
      </s:c>
      <s:c r="E16" s="647">
        <s:f validation_="true">C16*0.45</s:f>
        <s:v>20848.5</s:v>
      </s:c>
      <s:c r="F16" s="647">
        <s:f validation_="true">C16*0.15</s:f>
        <s:v>6949.5</s:v>
      </s:c>
    </s:row>
    <s:row r="17">
      <s:c r="A17" s="89">
        <s:v>3</s:v>
      </s:c>
      <s:c r="B17" s="89" t="s">
        <s:v>346</s:v>
      </s:c>
      <s:c r="C17" s="648">
        <s:f validation_="true">'Исходные данне'!E12</s:f>
        <s:v>35000</s:v>
      </s:c>
      <s:c r="D17" s="648">
        <s:f validation_="true">C17*0.7</s:f>
        <s:v>24500</s:v>
      </s:c>
      <s:c r="E17" s="648">
        <s:f validation_="true">C17*0.45</s:f>
        <s:v>15750</s:v>
      </s:c>
      <s:c r="F17" s="648">
        <s:f validation_="true">C17*0.15</s:f>
        <s:v>5250</s:v>
      </s:c>
    </s:row>
    <s:row r="18">
      <s:c r="A18" s="86">
        <s:v>4</s:v>
      </s:c>
      <s:c r="B18" s="86" t="s">
        <s:v>32</s:v>
      </s:c>
      <s:c r="C18" s="647">
        <s:f validation_="true">'Исходные данне'!E13</s:f>
        <s:v>25000</s:v>
      </s:c>
      <s:c r="D18" s="647">
        <s:f validation_="true">C18*0.7</s:f>
        <s:v>17500</s:v>
      </s:c>
      <s:c r="E18" s="647">
        <s:f validation_="true">C18*0.45</s:f>
        <s:v>11250</s:v>
      </s:c>
      <s:c r="F18" s="647">
        <s:f validation_="true">C18*0.15</s:f>
        <s:v>3750</s:v>
      </s:c>
    </s:row>
    <s:row r="19">
      <s:c r="A19" s="86">
        <s:v/>
      </s:c>
      <s:c r="B19" s="91" t="s">
        <s:v>330</s:v>
      </s:c>
      <s:c r="C19" s="649">
        <s:v>139330</s:v>
      </s:c>
      <s:c r="D19" s="649">
        <s:v>97531</s:v>
      </s:c>
      <s:c r="E19" s="649">
        <s:v>62699</s:v>
      </s:c>
      <s:c r="F19" s="649">
        <s:v>20900</s:v>
      </s:c>
    </s:row>
  </s:sheetData>
</s:worksheet>
</file>

<file path=xl/worksheets/sheet3.xml><?xml version="1.0" encoding="utf-8"?>
<s:worksheet xmlns:s="http://schemas.openxmlformats.org/spreadsheetml/2006/main" xmlns:r="http://schemas.openxmlformats.org/officeDocument/2006/relationships">
  <s:sheetPr/>
  <s:dimension ref="A1"/>
  <s:sheetViews>
    <s:sheetView tabSelected="0" workbookViewId="0">
      <s:pane xSplit="1" ySplit="3" topLeftCell="B4" activePane="bottomRight" state="frozen"/>
    </s:sheetView>
  </s:sheetViews>
  <s:sheetFormatPr baseColWidth="13" defaultColWidth="13.4" defaultRowHeight="14.25" customHeight="1"/>
  <s:cols>
    <s:col min="1" max="1" width="10.113" customWidth="1"/>
    <s:col min="2" max="2" width="30.082" style="21" customWidth="1"/>
    <s:col min="3" max="3" width="13.082" style="121" customWidth="1"/>
    <s:col min="4" max="4" width="13.082" style="121" customWidth="1"/>
    <s:col min="5" max="5" width="13.082" style="121" customWidth="1"/>
    <s:col min="6" max="6" width="13.082" style="121" customWidth="1"/>
    <s:col min="7" max="7" width="39.113" style="653" customWidth="1"/>
  </s:cols>
  <s:sheetData>
    <s:row r="1" s="140" customFormat="1">
      <s:c r="A1" s="141" t="s">
        <s:v>526</s:v>
      </s:c>
      <s:c r="B1" s="145" t="s">
        <s:v>262</s:v>
      </s:c>
      <s:c r="C1" s="142"/>
      <s:c r="D1" s="142"/>
      <s:c r="E1" s="142"/>
      <s:c r="F1" s="142"/>
      <s:c r="G1" s="654">
        <s:v>100</s:v>
      </s:c>
    </s:row>
    <s:row r="2" s="17" customFormat="1">
      <s:c r="A2" s="143"/>
      <s:c r="B2" s="146"/>
      <s:c r="C2" s="144"/>
      <s:c r="D2" s="144"/>
      <s:c r="E2" s="144"/>
      <s:c r="F2" s="144"/>
      <s:c r="G2" s="655"/>
    </s:row>
    <s:row r="3" s="127" customFormat="1">
      <s:c r="A3" s="128" t="s">
        <s:v>1</s:v>
      </s:c>
      <s:c r="B3" s="147" t="s">
        <s:v>162</s:v>
      </s:c>
      <s:c r="C3" s="129" t="s">
        <s:v>199</s:v>
      </s:c>
      <s:c r="D3" s="129" t="s">
        <s:v>200</s:v>
      </s:c>
      <s:c r="E3" s="129" t="s">
        <s:v>201</s:v>
      </s:c>
      <s:c r="F3" s="129" t="s">
        <s:v>202</s:v>
      </s:c>
      <s:c r="G3" s="656" t="s">
        <s:v>5</s:v>
      </s:c>
    </s:row>
    <s:row r="4" s="8" customFormat="1" ht="14.25">
      <s:c r="A4" s="131">
        <s:v>1</s:v>
      </s:c>
      <s:c r="B4" s="152" t="s">
        <s:v>204</s:v>
      </s:c>
      <s:c r="C4" s="133">
        <s:f validation_="true">SUM(C5:C9)</s:f>
        <s:v>23703000</s:v>
      </s:c>
      <s:c r="D4" s="133">
        <s:f validation_="true">SUM(D5:D9)</s:f>
        <s:v>0</s:v>
      </s:c>
      <s:c r="E4" s="133">
        <s:f validation_="true">SUM(E5:E9)</s:f>
        <s:v>0</s:v>
      </s:c>
      <s:c r="F4" s="133">
        <s:f validation_="true">SUM(C4:E4)</s:f>
        <s:v>23703000</s:v>
      </s:c>
      <s:c r="G4" s="131" t="s">
        <s:v>205</s:v>
      </s:c>
    </s:row>
    <s:row r="5">
      <s:c r="A5" s="100">
        <s:v>46023</s:v>
      </s:c>
      <s:c r="B5" s="149" t="s">
        <s:v>207</s:v>
      </s:c>
      <s:c r="C5" s="125">
        <s:f validation_="true">'Исходные данне'!E5*$G$1</s:f>
        <s:v>12000000</s:v>
      </s:c>
      <s:c r="D5" s="125"/>
      <s:c r="E5" s="125"/>
      <s:c r="F5" s="125">
        <s:f validation_="true">SUM(C5:E5)</s:f>
        <s:v>12000000</s:v>
      </s:c>
      <s:c r="G5" s="101" t="s">
        <s:v>208</s:v>
      </s:c>
    </s:row>
    <s:row r="6">
      <s:c r="A6" s="103">
        <s:v>46054</s:v>
      </s:c>
      <s:c r="B6" s="150" t="s">
        <s:v>210</s:v>
      </s:c>
      <s:c r="C6" s="123">
        <s:f validation_="true">'Исходные данне'!E8*G1</s:f>
        <s:v>3650000</s:v>
      </s:c>
      <s:c r="D6" s="123"/>
      <s:c r="E6" s="123"/>
      <s:c r="F6" s="125">
        <s:f validation_="true">SUM(C6:E6)</s:f>
        <s:v>3650000</s:v>
      </s:c>
      <s:c r="G6" s="96" t="s">
        <s:v>211</s:v>
      </s:c>
    </s:row>
    <s:row r="7">
      <s:c r="A7" s="100">
        <s:v>46082</s:v>
      </s:c>
      <s:c r="B7" s="149" t="s">
        <s:v>213</s:v>
      </s:c>
      <s:c r="C7" s="125">
        <s:f validation_="true">'Исходные данне'!E10*G1</s:f>
        <s:v>4633000</s:v>
      </s:c>
      <s:c r="D7" s="125"/>
      <s:c r="E7" s="125"/>
      <s:c r="F7" s="125">
        <s:f validation_="true">SUM(C7:E7)</s:f>
        <s:v>4633000</s:v>
      </s:c>
      <s:c r="G7" s="101" t="s">
        <s:v>24</s:v>
      </s:c>
    </s:row>
    <s:row r="8">
      <s:c r="A8" s="103">
        <s:v>46113</s:v>
      </s:c>
      <s:c r="B8" s="150" t="s">
        <s:v>215</s:v>
      </s:c>
      <s:c r="C8" s="123">
        <s:f validation_="true">'Исходные данне'!E11*G1</s:f>
        <s:v>920000</s:v>
      </s:c>
      <s:c r="D8" s="123"/>
      <s:c r="E8" s="123"/>
      <s:c r="F8" s="125">
        <s:f validation_="true">SUM(C8:E8)</s:f>
        <s:v>920000</s:v>
      </s:c>
      <s:c r="G8" s="96" t="s">
        <s:v>27</s:v>
      </s:c>
    </s:row>
    <s:row r="9">
      <s:c r="A9" s="100">
        <s:v>46143</s:v>
      </s:c>
      <s:c r="B9" s="149" t="s">
        <s:v>217</s:v>
      </s:c>
      <s:c r="C9" s="125">
        <s:f validation_="true">'Исходные данне'!E13*G1</s:f>
        <s:v>2500000</s:v>
      </s:c>
      <s:c r="D9" s="125"/>
      <s:c r="E9" s="125"/>
      <s:c r="F9" s="125">
        <s:f validation_="true">SUM(C9:E9)</s:f>
        <s:v>2500000</s:v>
      </s:c>
      <s:c r="G9" s="101" t="s">
        <s:v>218</s:v>
      </s:c>
    </s:row>
    <s:row r="10">
      <s:c r="A10" s="103"/>
      <s:c r="B10" s="150"/>
      <s:c r="C10" s="123"/>
      <s:c r="D10" s="123"/>
      <s:c r="E10" s="123"/>
      <s:c r="F10" s="123"/>
      <s:c r="G10" s="96"/>
    </s:row>
    <s:row r="11" s="7" customFormat="1" ht="14.25">
      <s:c r="A11" s="130">
        <s:v>2</s:v>
      </s:c>
      <s:c r="B11" s="152" t="s">
        <s:v>223</s:v>
      </s:c>
      <s:c r="C11" s="133">
        <s:f validation_="true">SUM(C12:C12)</s:f>
        <s:v>6500000</s:v>
      </s:c>
      <s:c r="D11" s="133">
        <s:f validation_="true">SUM(D12:D12)</s:f>
        <s:v>0</s:v>
      </s:c>
      <s:c r="E11" s="133">
        <s:f validation_="true">SUM(E12:E12)</s:f>
        <s:v>0</s:v>
      </s:c>
      <s:c r="F11" s="133">
        <s:f validation_="true">SUM(C11:E11)</s:f>
        <s:v>6500000</s:v>
      </s:c>
      <s:c r="G11" s="130" t="s">
        <s:v>224</s:v>
      </s:c>
    </s:row>
    <s:row r="12">
      <s:c r="A12" s="103">
        <s:v>46024</s:v>
      </s:c>
      <s:c r="B12" s="150" t="s">
        <s:v>506</s:v>
      </s:c>
      <s:c r="C12" s="123">
        <s:f validation_="true">'Исходные данне'!E7*G1</s:f>
        <s:v>6500000</s:v>
      </s:c>
      <s:c r="D12" s="123"/>
      <s:c r="E12" s="123"/>
      <s:c r="F12" s="123">
        <s:f validation_="true">SUM(C12:E12)</s:f>
        <s:v>6500000</s:v>
      </s:c>
      <s:c r="G12" s="96" t="s">
        <s:v>227</s:v>
      </s:c>
    </s:row>
    <s:row r="13">
      <s:c r="A13" s="100"/>
      <s:c r="B13" s="149"/>
      <s:c r="C13" s="125"/>
      <s:c r="D13" s="125"/>
      <s:c r="E13" s="125"/>
      <s:c r="F13" s="125"/>
      <s:c r="G13" s="101"/>
    </s:row>
    <s:row r="14" s="8" customFormat="1" ht="14.25">
      <s:c r="A14" s="131">
        <s:v>3</s:v>
      </s:c>
      <s:c r="B14" s="152" t="s">
        <s:v>232</s:v>
      </s:c>
      <s:c r="C14" s="133">
        <s:f validation_="true">SUM(C15:C15)</s:f>
        <s:v>1300000</s:v>
      </s:c>
      <s:c r="D14" s="133">
        <s:f validation_="true">SUM(D15:D15)</s:f>
        <s:v>1300000</s:v>
      </s:c>
      <s:c r="E14" s="133">
        <s:f validation_="true">SUM(E15:E15)</s:f>
        <s:v>1300000</s:v>
      </s:c>
      <s:c r="F14" s="133">
        <s:f validation_="true">SUM(C14:E14)</s:f>
        <s:v>3900000</s:v>
      </s:c>
      <s:c r="G14" s="131" t="s">
        <s:v>233</s:v>
      </s:c>
    </s:row>
    <s:row r="15" s="17" customFormat="1" ht="14.25">
      <s:c r="A15" s="158">
        <s:v>46025</s:v>
      </s:c>
      <s:c r="B15" s="150" t="s">
        <s:v>264</s:v>
      </s:c>
      <s:c r="C15" s="155">
        <s:f validation_="true">'Исходные данне'!E16*G1</s:f>
        <s:v>1300000</s:v>
      </s:c>
      <s:c r="D15" s="155">
        <s:f validation_="true">C15</s:f>
        <s:v>1300000</s:v>
      </s:c>
      <s:c r="E15" s="155">
        <s:f validation_="true">D15</s:f>
        <s:v>1300000</s:v>
      </s:c>
      <s:c r="F15" s="159">
        <s:f validation_="true">SUM(C15:E15)</s:f>
        <s:v>3900000</s:v>
      </s:c>
      <s:c r="G15" s="153"/>
    </s:row>
    <s:row r="16" s="17" ht="14.25">
      <s:c r="A16" s="158"/>
      <s:c r="B16" s="217"/>
      <s:c r="C16" s="155"/>
      <s:c r="D16" s="155"/>
      <s:c r="E16" s="155"/>
      <s:c r="F16" s="156"/>
      <s:c r="G16" s="153"/>
    </s:row>
    <s:row r="17" s="7" customFormat="1" ht="14.25">
      <s:c r="A17" s="130">
        <s:v>4</s:v>
      </s:c>
      <s:c r="B17" s="152" t="s">
        <s:v>235</s:v>
      </s:c>
      <s:c r="C17" s="133">
        <s:f validation_="true">SUM(C18:C21)</s:f>
        <s:v>8700000</s:v>
      </s:c>
      <s:c r="D17" s="133">
        <s:f validation_="true">SUM(D18:D21)</s:f>
        <s:v>0</s:v>
      </s:c>
      <s:c r="E17" s="133">
        <s:f validation_="true">SUM(E18:E21)</s:f>
        <s:v>0</s:v>
      </s:c>
      <s:c r="F17" s="133">
        <s:f validation_="true">SUM(C17:E17)</s:f>
        <s:v>8700000</s:v>
      </s:c>
      <s:c r="G17" s="130" t="s">
        <s:v>236</s:v>
      </s:c>
    </s:row>
    <s:row r="18">
      <s:c r="A18" s="103">
        <s:v>46026</s:v>
      </s:c>
      <s:c r="B18" s="150" t="s">
        <s:v>238</s:v>
      </s:c>
      <s:c r="C18" s="123">
        <s:f validation_="true">'Исходные данне'!E24*16*G1</s:f>
        <s:v>4000000</s:v>
      </s:c>
      <s:c r="D18" s="123"/>
      <s:c r="E18" s="123"/>
      <s:c r="F18" s="123">
        <s:f validation_="true">SUM(C18:E18)</s:f>
        <s:v>4000000</s:v>
      </s:c>
      <s:c r="G18" s="96" t="s">
        <s:v>239</s:v>
      </s:c>
    </s:row>
    <s:row r="19">
      <s:c r="A19" s="100">
        <s:v>46057</s:v>
      </s:c>
      <s:c r="B19" s="149" t="s">
        <s:v>241</s:v>
      </s:c>
      <s:c r="C19" s="125">
        <s:f validation_="true">'Исходные данне'!E37*G1</s:f>
        <s:v>2500000</s:v>
      </s:c>
      <s:c r="D19" s="125"/>
      <s:c r="E19" s="125"/>
      <s:c r="F19" s="125">
        <s:f validation_="true">SUM(C19:E19)</s:f>
        <s:v>2500000</s:v>
      </s:c>
      <s:c r="G19" s="101" t="s">
        <s:v>242</s:v>
      </s:c>
    </s:row>
    <s:row r="20" ht="14.25">
      <s:c r="A20" s="103">
        <s:v>46085</s:v>
      </s:c>
      <s:c r="B20" s="150" t="s">
        <s:v>243</s:v>
      </s:c>
      <s:c r="C20" s="123">
        <s:f validation_="true">G1*'Исходные данне'!E26*20</s:f>
        <s:v>1000000</s:v>
      </s:c>
      <s:c r="D20" s="123"/>
      <s:c r="E20" s="123"/>
      <s:c r="F20" s="123">
        <s:f validation_="true">SUM(C20:E20)</s:f>
        <s:v>1000000</s:v>
      </s:c>
      <s:c r="G20" s="96" t="s">
        <s:v>244</s:v>
      </s:c>
    </s:row>
    <s:row r="21">
      <s:c r="A21" s="100">
        <s:v>46116</s:v>
      </s:c>
      <s:c r="B21" s="149" t="s">
        <s:v>246</s:v>
      </s:c>
      <s:c r="C21" s="125">
        <s:f validation_="true">G1*8*'Исходные данне'!E40</s:f>
        <s:v>1200000</s:v>
      </s:c>
      <s:c r="D21" s="125"/>
      <s:c r="E21" s="125"/>
      <s:c r="F21" s="125">
        <s:f validation_="true">SUM(C21:E21)</s:f>
        <s:v>1200000</s:v>
      </s:c>
      <s:c r="G21" s="101" t="s">
        <s:v>247</s:v>
      </s:c>
    </s:row>
    <s:row r="22">
      <s:c r="A22" s="100"/>
      <s:c r="B22" s="149"/>
      <s:c r="C22" s="125"/>
      <s:c r="D22" s="125"/>
      <s:c r="E22" s="125"/>
      <s:c r="F22" s="125"/>
      <s:c r="G22" s="101"/>
    </s:row>
    <s:row r="23" s="8" customFormat="1" ht="14.25">
      <s:c r="A23" s="131">
        <s:v>5</s:v>
      </s:c>
      <s:c r="B23" s="152" t="s">
        <s:v>249</s:v>
      </s:c>
      <s:c r="C23" s="133">
        <s:f validation_="true">3*'Исходные данне'!E28*12</s:f>
        <s:v>5400000</s:v>
      </s:c>
      <s:c r="D23" s="133">
        <s:f validation_="true">C23</s:f>
        <s:v>5400000</s:v>
      </s:c>
      <s:c r="E23" s="133">
        <s:f validation_="true">D23</s:f>
        <s:v>5400000</s:v>
      </s:c>
      <s:c r="F23" s="133">
        <s:f validation_="true">SUM(C23:E23)</s:f>
        <s:v>16200000</s:v>
      </s:c>
      <s:c r="G23" s="131" t="s">
        <s:v>250</s:v>
      </s:c>
    </s:row>
    <s:row r="24" s="17" customFormat="1" ht="14.25">
      <s:c r="A24" s="153"/>
      <s:c r="B24" s="217"/>
      <s:c r="C24" s="155"/>
      <s:c r="D24" s="155"/>
      <s:c r="E24" s="155"/>
      <s:c r="F24" s="156"/>
      <s:c r="G24" s="153"/>
    </s:row>
    <s:row r="25" s="8" customFormat="1" ht="14.25">
      <s:c r="A25" s="131">
        <s:v>6</s:v>
      </s:c>
      <s:c r="B25" s="152" t="s">
        <s:v>252</s:v>
      </s:c>
      <s:c r="C25" s="133">
        <s:f validation_="true">G1*'Исходные данне'!E58*12</s:f>
        <s:v>3000000</s:v>
      </s:c>
      <s:c r="D25" s="133">
        <s:f validation_="true">C25</s:f>
        <s:v>3000000</s:v>
      </s:c>
      <s:c r="E25" s="133">
        <s:f validation_="true">D25</s:f>
        <s:v>3000000</s:v>
      </s:c>
      <s:c r="F25" s="133">
        <s:f validation_="true">SUM(C25:E25)</s:f>
        <s:v>9000000</s:v>
      </s:c>
      <s:c r="G25" s="131" t="s">
        <s:v>253</s:v>
      </s:c>
    </s:row>
    <s:row r="26" s="17" customFormat="1" ht="14.25">
      <s:c r="A26" s="153"/>
      <s:c r="B26" s="217"/>
      <s:c r="C26" s="155"/>
      <s:c r="D26" s="155"/>
      <s:c r="E26" s="155"/>
      <s:c r="F26" s="156"/>
      <s:c r="G26" s="153"/>
    </s:row>
    <s:row r="27" s="8" customFormat="1" ht="14.25">
      <s:c r="A27" s="131">
        <s:v>7</s:v>
      </s:c>
      <s:c r="B27" s="152" t="s">
        <s:v>183</s:v>
      </s:c>
      <s:c r="C27" s="355">
        <s:f validation_="true">SUM(C28:C31)</s:f>
        <s:v>250000</s:v>
      </s:c>
      <s:c r="D27" s="355">
        <s:f validation_="true">SUM(D28:D31)</s:f>
        <s:v>0</s:v>
      </s:c>
      <s:c r="E27" s="355">
        <s:f validation_="true">SUM(E28:E31)</s:f>
        <s:v>500000</s:v>
      </s:c>
      <s:c r="F27" s="133">
        <s:f validation_="true">SUM(C27:E27)</s:f>
        <s:v>750000</s:v>
      </s:c>
      <s:c r="G27" s="131" t="s">
        <s:v>255</s:v>
      </s:c>
    </s:row>
    <s:row r="28" s="204" customFormat="1">
      <s:c r="A28" s="205">
        <s:v>46029</s:v>
      </s:c>
      <s:c r="B28" s="218" t="s">
        <s:v>293</s:v>
      </s:c>
      <s:c r="C28" s="155">
        <s:f validation_="true">'Исходные данне'!E63*5</s:f>
        <s:v>250000</s:v>
      </s:c>
      <s:c r="D28" s="215"/>
      <s:c r="E28" s="215"/>
      <s:c r="F28" s="215">
        <s:f validation_="true">SUM(C28:E28)</s:f>
        <s:v>250000</s:v>
      </s:c>
      <s:c r="G28" s="206" t="s">
        <s:v>294</s:v>
      </s:c>
    </s:row>
    <s:row r="29" s="204" customFormat="1">
      <s:c r="A29" s="208">
        <s:v>46060</s:v>
      </s:c>
      <s:c r="B29" s="219" t="s">
        <s:v>283</s:v>
      </s:c>
      <s:c r="C29" s="216"/>
      <s:c r="D29" s="216"/>
      <s:c r="E29" s="216">
        <s:f validation_="true">'Исходные данне'!E62*G1</s:f>
        <s:v>500000</s:v>
      </s:c>
      <s:c r="F29" s="216">
        <s:f validation_="true">SUM(C29:E29)</s:f>
        <s:v>500000</s:v>
      </s:c>
      <s:c r="G29" s="209" t="s">
        <s:v>284</s:v>
      </s:c>
    </s:row>
    <s:row r="30" s="204" customFormat="1">
      <s:c r="A30" s="205">
        <s:v>46088</s:v>
      </s:c>
      <s:c r="B30" s="218" t="s">
        <s:v>286</s:v>
      </s:c>
      <s:c r="C30" s="215"/>
      <s:c r="D30" s="215"/>
      <s:c r="E30" s="215"/>
      <s:c r="F30" s="215">
        <s:f validation_="true">SUM(C30:E30)</s:f>
        <s:v>0</s:v>
      </s:c>
      <s:c r="G30" s="206" t="s">
        <s:v>284</s:v>
      </s:c>
    </s:row>
    <s:row r="31" s="204" customFormat="1" ht="26.25">
      <s:c r="A31" s="208">
        <s:v>46119</s:v>
      </s:c>
      <s:c r="B31" s="219" t="s">
        <s:v>288</s:v>
      </s:c>
      <s:c r="C31" s="216"/>
      <s:c r="D31" s="216"/>
      <s:c r="E31" s="216"/>
      <s:c r="F31" s="216">
        <s:f validation_="true">SUM(C31:E31)</s:f>
        <s:v>0</s:v>
      </s:c>
      <s:c r="G31" s="209" t="s">
        <s:v>289</s:v>
      </s:c>
    </s:row>
    <s:row r="32" s="204" customFormat="1" ht="14.25">
      <s:c r="A32" s="206"/>
      <s:c r="B32" s="218"/>
      <s:c r="C32" s="215"/>
      <s:c r="D32" s="215"/>
      <s:c r="E32" s="215"/>
      <s:c r="F32" s="215"/>
      <s:c r="G32" s="206"/>
    </s:row>
    <s:row r="33" s="326" customFormat="1" ht="14.25">
      <s:c r="A33" s="131">
        <s:v>8</s:v>
      </s:c>
      <s:c r="B33" s="152" t="s">
        <s:v>187</s:v>
      </s:c>
      <s:c r="C33" s="133">
        <s:f validation_="true">SUM(C34:C37)</s:f>
        <s:v>15948099.9999999</s:v>
      </s:c>
      <s:c r="D33" s="133">
        <s:f validation_="true">SUM(D34:D37)</s:f>
        <s:v>10252350</s:v>
      </s:c>
      <s:c r="E33" s="133">
        <s:f validation_="true">SUM(E34:E37)</s:f>
        <s:v>3417450</s:v>
      </s:c>
      <s:c r="F33" s="133"/>
      <s:c r="G33" s="657" t="s">
        <s:v>491</s:v>
      </s:c>
    </s:row>
    <s:row r="34" s="521" customFormat="1" ht="26.25">
      <s:c r="A34" s="103">
        <s:v>46030</s:v>
      </s:c>
      <s:c r="B34" s="96" t="s">
        <s:v>302</s:v>
      </s:c>
      <s:c r="C34" s="117">
        <s:f validation_="true">'Расчёт остаточной стоимости'!D4*$G$1</s:f>
        <s:v>8400000</s:v>
      </s:c>
      <s:c r="D34" s="117">
        <s:f validation_="true">'Расчёт остаточной стоимости'!E4*$G$1</s:f>
        <s:v>5400000</s:v>
      </s:c>
      <s:c r="E34" s="117">
        <s:f validation_="true">'Расчёт остаточной стоимости'!F4*$G$1</s:f>
        <s:v>1800000</s:v>
      </s:c>
      <s:c r="F34" s="117"/>
      <s:c r="G34" s="101" t="s">
        <s:v>553</s:v>
      </s:c>
    </s:row>
    <s:row r="35" s="521" customFormat="1" ht="26.25">
      <s:c r="A35" s="100">
        <s:v>46061</s:v>
      </s:c>
      <s:c r="B35" s="101" t="s">
        <s:v>17</s:v>
      </s:c>
      <s:c r="C35" s="117">
        <s:f validation_="true">'Расчёт остаточной стоимости'!D5*$G$1</s:f>
        <s:v>2555000</s:v>
      </s:c>
      <s:c r="D35" s="117">
        <s:f validation_="true">'Расчёт остаточной стоимости'!E5*$G$1</s:f>
        <s:v>1642500</s:v>
      </s:c>
      <s:c r="E35" s="117">
        <s:f validation_="true">'Расчёт остаточной стоимости'!F5*$G$1</s:f>
        <s:v>547500</s:v>
      </s:c>
      <s:c r="F35" s="118"/>
      <s:c r="G35" s="101" t="s">
        <s:v>553</s:v>
      </s:c>
    </s:row>
    <s:row r="36" s="521" customFormat="1" ht="26.25">
      <s:c r="A36" s="103">
        <s:v>46089</s:v>
      </s:c>
      <s:c r="B36" s="96" t="s">
        <s:v>23</s:v>
      </s:c>
      <s:c r="C36" s="117">
        <s:f validation_="true">'Расчёт остаточной стоимости'!D6*$G$1</s:f>
        <s:v>3243099.99999999</s:v>
      </s:c>
      <s:c r="D36" s="117">
        <s:f validation_="true">'Расчёт остаточной стоимости'!E6*$G$1</s:f>
        <s:v>2084850</s:v>
      </s:c>
      <s:c r="E36" s="117">
        <s:f validation_="true">'Расчёт остаточной стоимости'!F6*$G$1</s:f>
        <s:v>694950</s:v>
      </s:c>
      <s:c r="F36" s="117"/>
      <s:c r="G36" s="101" t="s">
        <s:v>553</s:v>
      </s:c>
    </s:row>
    <s:row r="37" s="521" customFormat="1" ht="26.25">
      <s:c r="A37" s="100">
        <s:v>46120</s:v>
      </s:c>
      <s:c r="B37" s="101" t="s">
        <s:v>32</s:v>
      </s:c>
      <s:c r="C37" s="117">
        <s:f validation_="true">'Расчёт остаточной стоимости'!D7*$G$1</s:f>
        <s:v>1750000</s:v>
      </s:c>
      <s:c r="D37" s="117">
        <s:f validation_="true">'Расчёт остаточной стоимости'!E7*$G$1</s:f>
        <s:v>1125000</s:v>
      </s:c>
      <s:c r="E37" s="117">
        <s:f validation_="true">'Расчёт остаточной стоимости'!F7*$G$1</s:f>
        <s:v>375000</s:v>
      </s:c>
      <s:c r="F37" s="118"/>
      <s:c r="G37" s="101" t="s">
        <s:v>553</s:v>
      </s:c>
    </s:row>
    <s:row r="39" s="402" customFormat="1" ht="11.25" customHeight="1">
      <s:c r="A39" s="403">
        <s:v/>
      </s:c>
      <s:c r="B39" s="404" t="s">
        <s:v>341</s:v>
      </s:c>
      <s:c r="C39" s="405">
        <s:f validation_="true">C4+C11+C14+C17+C23+C25+C27</s:f>
        <s:v>48853000</s:v>
      </s:c>
      <s:c r="D39" s="405">
        <s:f validation_="true">D4+D11+D14+D17+D23+D25+D27</s:f>
        <s:v>9700000</s:v>
      </s:c>
      <s:c r="E39" s="405">
        <s:f validation_="true">E4+E11+E14+E17+E23+E25+E27</s:f>
        <s:v>10200000</s:v>
      </s:c>
      <s:c r="F39" s="405">
        <s:f validation_="true">SUM(C39:E39)</s:f>
        <s:v>68753000</s:v>
      </s:c>
      <s:c r="G39" s="658"/>
    </s:row>
    <s:row r="40" s="47" customFormat="1" ht="14.25">
      <s:c r="A40" s="400"/>
      <s:c r="B40" s="162" t="s">
        <s:v>337</s:v>
      </s:c>
      <s:c r="C40" s="401">
        <s:f validation_="true">C39</s:f>
        <s:v>48853000</s:v>
      </s:c>
      <s:c r="D40" s="401">
        <s:f validation_="true">C40+D39</s:f>
        <s:v>58553000</s:v>
      </s:c>
      <s:c r="E40" s="401">
        <s:f validation_="true">D40+E39</s:f>
        <s:v>68753000</s:v>
      </s:c>
      <s:c r="F40" s="400"/>
      <s:c r="G40" s="592"/>
    </s:row>
    <s:row r="41" s="406" customFormat="1" ht="26.25">
      <s:c r="A41" s="407">
        <s:v/>
      </s:c>
      <s:c r="B41" s="408" t="s">
        <s:v>334</s:v>
      </s:c>
      <s:c r="C41" s="409">
        <s:f validation_="true">C40-C33</s:f>
        <s:v>32904900</s:v>
      </s:c>
      <s:c r="D41" s="409">
        <s:f validation_="true">D40-D33</s:f>
        <s:v>48300650</s:v>
      </s:c>
      <s:c r="E41" s="409">
        <s:f validation_="true">E40-E33</s:f>
        <s:v>65335550</s:v>
      </s:c>
      <s:c r="F41" s="407">
        <s:v/>
      </s:c>
      <s:c r="G41" s="659"/>
    </s:row>
    <s:row r="43">
      <s:c r="E43" s="121"/>
    </s:row>
    <s:row r="45">
      <s:c r="F45" s="121"/>
      <s:c r="G45" s="653"/>
    </s:row>
  </s:sheetData>
  <s:legacyDrawing r:id="rId40"/>
</s:worksheet>
</file>

<file path=xl/worksheets/sheet4.xml><?xml version="1.0" encoding="utf-8"?>
<s:worksheet xmlns:s="http://schemas.openxmlformats.org/spreadsheetml/2006/main" xmlns:r="http://schemas.openxmlformats.org/officeDocument/2006/relationships">
  <s:sheetPr/>
  <s:dimension ref="A1"/>
  <s:sheetViews>
    <s:sheetView tabSelected="0" workbookViewId="0">
      <s:pane ySplit="3" topLeftCell="A4" activePane="bottomLeft" state="frozen"/>
    </s:sheetView>
  </s:sheetViews>
  <s:sheetFormatPr baseColWidth="13" defaultColWidth="13.4" defaultRowHeight="14.25" customHeight="1"/>
  <s:cols>
    <s:col min="1" max="1" width="10.922" style="565" customWidth="1"/>
    <s:col min="2" max="2" width="28.324" style="21" customWidth="1"/>
    <s:col min="3" max="3" width="12.141" style="31" customWidth="1"/>
    <s:col min="4" max="4" width="12.141" style="31" customWidth="1"/>
    <s:col min="5" max="5" width="12.141" style="31" customWidth="1"/>
    <s:col min="6" max="6" width="12.141" style="31" customWidth="1"/>
    <s:col min="7" max="7" width="18.883" customWidth="1"/>
    <s:col min="8" max="8" width="31.422" customWidth="1"/>
  </s:cols>
  <s:sheetData>
    <s:row r="1">
      <s:c r="A1" s="566" t="s">
        <s:v>528</s:v>
      </s:c>
      <s:c r="B1" s="145" t="s">
        <s:v>262</s:v>
      </s:c>
      <s:c r="C1" s="142"/>
      <s:c r="D1" s="142"/>
      <s:c r="E1" s="142"/>
      <s:c r="F1" s="142"/>
      <s:c r="G1" s="458">
        <s:f validation_="true">'AS-IS — TCO за 3 года'!G1</s:f>
        <s:v>100</s:v>
      </s:c>
      <s:c r="H1" s="140"/>
      <s:c r="I1" s="140"/>
      <s:c r="J1" s="140"/>
      <s:c r="K1" s="140"/>
      <s:c r="L1" s="140"/>
      <s:c r="M1" s="140"/>
      <s:c r="N1" s="140"/>
      <s:c r="O1" s="140"/>
      <s:c r="P1" s="140"/>
      <s:c r="Q1" s="140"/>
      <s:c r="R1" s="140"/>
      <s:c r="S1" s="140"/>
      <s:c r="T1" s="140"/>
      <s:c r="U1" s="140"/>
      <s:c r="V1" s="140"/>
      <s:c r="W1" s="140"/>
      <s:c r="X1" s="140"/>
      <s:c r="Y1" s="140"/>
    </s:row>
    <s:row r="2">
      <s:c r="A2" s="567"/>
      <s:c r="B2" s="146"/>
      <s:c r="C2" s="144"/>
      <s:c r="D2" s="144"/>
      <s:c r="E2" s="144"/>
      <s:c r="F2" s="144"/>
      <s:c r="G2" s="146"/>
      <s:c r="H2" s="17"/>
      <s:c r="I2" s="17"/>
      <s:c r="J2" s="17"/>
      <s:c r="K2" s="17"/>
      <s:c r="L2" s="17"/>
      <s:c r="M2" s="17"/>
      <s:c r="N2" s="17"/>
      <s:c r="O2" s="17"/>
      <s:c r="P2" s="17"/>
      <s:c r="Q2" s="17"/>
      <s:c r="R2" s="17"/>
      <s:c r="S2" s="17"/>
      <s:c r="T2" s="17"/>
      <s:c r="U2" s="17"/>
      <s:c r="V2" s="17"/>
      <s:c r="W2" s="17"/>
      <s:c r="X2" s="17"/>
      <s:c r="Y2" s="17"/>
    </s:row>
    <s:row r="3" s="462" customFormat="1">
      <s:c r="A3" s="568" t="s">
        <s:v>1</s:v>
      </s:c>
      <s:c r="B3" s="530" t="s">
        <s:v>2</s:v>
      </s:c>
      <s:c r="C3" s="464" t="s">
        <s:v>199</s:v>
      </s:c>
      <s:c r="D3" s="464" t="s">
        <s:v>200</s:v>
      </s:c>
      <s:c r="E3" s="464" t="s">
        <s:v>201</s:v>
      </s:c>
      <s:c r="F3" s="464" t="s">
        <s:v>202</s:v>
      </s:c>
      <s:c r="G3" s="463" t="s">
        <s:v>324</s:v>
      </s:c>
      <s:c r="H3" s="463" t="s">
        <s:v>342</s:v>
      </s:c>
    </s:row>
    <s:row r="4" s="8" customFormat="1">
      <s:c r="A4" s="569">
        <s:v>1</s:v>
      </s:c>
      <s:c r="B4" s="531" t="s">
        <s:v>204</s:v>
      </s:c>
      <s:c r="C4" s="457">
        <s:f validation_="true">SUM(C5:C9)</s:f>
        <s:v>14053000</s:v>
      </s:c>
      <s:c r="D4" s="457">
        <s:f validation_="true">SUM(D5:D9)</s:f>
        <s:v>0</s:v>
      </s:c>
      <s:c r="E4" s="457">
        <s:f validation_="true">SUM(E5:E9)</s:f>
        <s:v>0</s:v>
      </s:c>
      <s:c r="F4" s="457">
        <s:f validation_="true">SUM(C4:E4)</s:f>
        <s:v>14053000</s:v>
      </s:c>
      <s:c r="G4" s="415">
        <s:v/>
      </s:c>
      <s:c r="H4" s="415" t="s">
        <s:v>343</s:v>
      </s:c>
    </s:row>
    <s:row r="5">
      <s:c r="A5" s="570" t="s">
        <s:v>475</s:v>
      </s:c>
      <s:c r="B5" s="532" t="s">
        <s:v>20</s:v>
      </s:c>
      <s:c r="C5" s="454">
        <s:f validation_="true">'Исходные данне'!E9*G1</s:f>
        <s:v>2500000</s:v>
      </s:c>
      <s:c r="D5" s="454"/>
      <s:c r="E5" s="454"/>
      <s:c r="F5" s="454">
        <s:f validation_="true">SUM(C5:E5)</s:f>
        <s:v>2500000</s:v>
      </s:c>
      <s:c r="G5" s="86" t="s">
        <s:v>344</s:v>
      </s:c>
      <s:c r="H5" s="86" t="s">
        <s:v>219</s:v>
      </s:c>
    </s:row>
    <s:row r="6">
      <s:c r="A6" s="571" t="s">
        <s:v>476</s:v>
      </s:c>
      <s:c r="B6" s="533" t="s">
        <s:v>23</s:v>
      </s:c>
      <s:c r="C6" s="453">
        <s:f validation_="true">'Исходные данне'!E10*G1</s:f>
        <s:v>4633000</s:v>
      </s:c>
      <s:c r="D6" s="453"/>
      <s:c r="E6" s="453"/>
      <s:c r="F6" s="453">
        <s:f validation_="true">SUM(C6:E6)</s:f>
        <s:v>4633000</s:v>
      </s:c>
      <s:c r="G6" s="89" t="s">
        <s:v>328</s:v>
      </s:c>
      <s:c r="H6" s="89" t="s">
        <s:v>214</s:v>
      </s:c>
    </s:row>
    <s:row r="7">
      <s:c r="A7" s="570" t="s">
        <s:v>477</s:v>
      </s:c>
      <s:c r="B7" s="532" t="s">
        <s:v>26</s:v>
      </s:c>
      <s:c r="C7" s="454">
        <s:f validation_="true">'Исходные данне'!E11*G1</s:f>
        <s:v>920000</s:v>
      </s:c>
      <s:c r="D7" s="454"/>
      <s:c r="E7" s="454"/>
      <s:c r="F7" s="454">
        <s:f validation_="true">SUM(C7:E7)</s:f>
        <s:v>920000</s:v>
      </s:c>
      <s:c r="G7" s="86" t="s">
        <s:v>345</s:v>
      </s:c>
      <s:c r="H7" s="86" t="s">
        <s:v>216</s:v>
      </s:c>
    </s:row>
    <s:row r="8">
      <s:c r="A8" s="570" t="s">
        <s:v>478</s:v>
      </s:c>
      <s:c r="B8" s="533" t="s">
        <s:v>346</s:v>
      </s:c>
      <s:c r="C8" s="453">
        <s:f validation_="true">G1*'Исходные данне'!E12</s:f>
        <s:v>3500000</s:v>
      </s:c>
      <s:c r="D8" s="453"/>
      <s:c r="E8" s="453"/>
      <s:c r="F8" s="453">
        <s:f validation_="true">SUM(C8:E8)</s:f>
        <s:v>3500000</s:v>
      </s:c>
      <s:c r="G8" s="89" t="s">
        <s:v>347</s:v>
      </s:c>
      <s:c r="H8" s="89" t="s">
        <s:v>348</s:v>
      </s:c>
    </s:row>
    <s:row r="9">
      <s:c r="A9" s="571" t="s">
        <s:v>481</s:v>
      </s:c>
      <s:c r="B9" s="532" t="s">
        <s:v>32</s:v>
      </s:c>
      <s:c r="C9" s="454">
        <s:f validation_="true">G1*'Исходные данне'!E13</s:f>
        <s:v>2500000</s:v>
      </s:c>
      <s:c r="D9" s="454"/>
      <s:c r="E9" s="454"/>
      <s:c r="F9" s="454">
        <s:f validation_="true">SUM(C9:E9)</s:f>
        <s:v>2500000</s:v>
      </s:c>
      <s:c r="G9" s="86" t="s">
        <s:v>329</s:v>
      </s:c>
      <s:c r="H9" s="86" t="s">
        <s:v>219</s:v>
      </s:c>
    </s:row>
    <s:row r="10">
      <s:c r="A10" s="570"/>
      <s:c r="B10" s="534"/>
      <s:c r="C10" s="455"/>
      <s:c r="D10" s="455"/>
      <s:c r="E10" s="455"/>
      <s:c r="F10" s="455"/>
      <s:c r="G10" s="86"/>
      <s:c r="H10" s="86"/>
    </s:row>
    <s:row r="11" s="8" customFormat="1">
      <s:c r="A11" s="569">
        <s:v>2</s:v>
      </s:c>
      <s:c r="B11" s="531" t="s">
        <s:v>349</s:v>
      </s:c>
      <s:c r="C11" s="457">
        <s:f validation_="true">SUM(C12:C16)</s:f>
        <s:v>14050000</s:v>
      </s:c>
      <s:c r="D11" s="457">
        <s:f validation_="true">SUM(D12:D16)</s:f>
        <s:v>0</s:v>
      </s:c>
      <s:c r="E11" s="457">
        <s:f validation_="true">SUM(E12:E16)</s:f>
        <s:v>0</s:v>
      </s:c>
      <s:c r="F11" s="457">
        <s:f validation_="true">SUM(C11:E11)</s:f>
        <s:v>14050000</s:v>
      </s:c>
      <s:c r="G11" s="415">
        <s:v/>
      </s:c>
      <s:c r="H11" s="415" t="s">
        <s:v>350</s:v>
      </s:c>
    </s:row>
    <s:row r="12">
      <s:c r="A12" s="571" t="s">
        <s:v>466</s:v>
      </s:c>
      <s:c r="B12" s="533" t="s">
        <s:v>119</s:v>
      </s:c>
      <s:c r="C12" s="453">
        <s:f validation_="true">2000*'Исходные данне'!E51</s:f>
        <s:v>6000000</s:v>
      </s:c>
      <s:c r="D12" s="453"/>
      <s:c r="E12" s="453"/>
      <s:c r="F12" s="453">
        <s:f validation_="true">SUM(C12:E12)</s:f>
        <s:v>6000000</s:v>
      </s:c>
      <s:c r="G12" s="89" t="s">
        <s:v>351</s:v>
      </s:c>
      <s:c r="H12" s="89" t="s">
        <s:v>352</s:v>
      </s:c>
    </s:row>
    <s:row r="13">
      <s:c r="A13" s="570" t="s">
        <s:v>467</s:v>
      </s:c>
      <s:c r="B13" s="532" t="s">
        <s:v>353</s:v>
      </s:c>
      <s:c r="C13" s="454">
        <s:f validation_="true">1500*'Исходные данне'!E52</s:f>
        <s:v>4500000</s:v>
      </s:c>
      <s:c r="D13" s="454"/>
      <s:c r="E13" s="454"/>
      <s:c r="F13" s="454">
        <s:f validation_="true">SUM(C13:E13)</s:f>
        <s:v>4500000</s:v>
      </s:c>
      <s:c r="G13" s="86" t="s">
        <s:v>354</s:v>
      </s:c>
      <s:c r="H13" s="86" t="s">
        <s:v>355</s:v>
      </s:c>
    </s:row>
    <s:row r="14">
      <s:c r="A14" s="571" t="s">
        <s:v>468</s:v>
      </s:c>
      <s:c r="B14" s="533" t="s">
        <s:v>125</s:v>
      </s:c>
      <s:c r="C14" s="453">
        <s:f validation_="true">1000*'Исходные данне'!E53</s:f>
        <s:v>3000000</s:v>
      </s:c>
      <s:c r="D14" s="453"/>
      <s:c r="E14" s="453"/>
      <s:c r="F14" s="453">
        <s:f validation_="true">SUM(C14:E14)</s:f>
        <s:v>3000000</s:v>
      </s:c>
      <s:c r="G14" s="89" t="s">
        <s:v>356</s:v>
      </s:c>
      <s:c r="H14" s="89" t="s">
        <s:v>357</s:v>
      </s:c>
    </s:row>
    <s:row r="15">
      <s:c r="A15" s="570" t="s">
        <s:v>469</s:v>
      </s:c>
      <s:c r="B15" s="532" t="s">
        <s:v>358</s:v>
      </s:c>
      <s:c r="C15" s="454">
        <s:f validation_="true">'Исходные данне'!E54</s:f>
        <s:v>500000</s:v>
      </s:c>
      <s:c r="D15" s="454"/>
      <s:c r="E15" s="454"/>
      <s:c r="F15" s="454">
        <s:f validation_="true">SUM(C15:E15)</s:f>
        <s:v>500000</s:v>
      </s:c>
      <s:c r="G15" s="86" t="s">
        <s:v>359</s:v>
      </s:c>
      <s:c r="H15" s="86" t="s">
        <s:v>360</s:v>
      </s:c>
    </s:row>
    <s:row r="16">
      <s:c r="A16" s="571" t="s">
        <s:v>471</s:v>
      </s:c>
      <s:c r="B16" s="533" t="s">
        <s:v>131</s:v>
      </s:c>
      <s:c r="C16" s="453">
        <s:f validation_="true">5*'Исходные данне'!E55</s:f>
        <s:v>50000</s:v>
      </s:c>
      <s:c r="D16" s="453"/>
      <s:c r="E16" s="453"/>
      <s:c r="F16" s="453">
        <s:f validation_="true">SUM(C16:E16)</s:f>
        <s:v>50000</s:v>
      </s:c>
      <s:c r="G16" s="89" t="s">
        <s:v>361</s:v>
      </s:c>
      <s:c r="H16" s="89" t="s">
        <s:v>362</s:v>
      </s:c>
    </s:row>
    <s:row r="17">
      <s:c r="A17" s="572"/>
      <s:c r="B17" s="534"/>
      <s:c r="C17" s="455"/>
      <s:c r="D17" s="455"/>
      <s:c r="E17" s="455"/>
      <s:c r="F17" s="455"/>
      <s:c r="G17" s="86"/>
      <s:c r="H17" s="86"/>
    </s:row>
    <s:row r="18" s="8" customFormat="1">
      <s:c r="A18" s="573">
        <s:v>3</s:v>
      </s:c>
      <s:c r="B18" s="535" t="s">
        <s:v>363</s:v>
      </s:c>
      <s:c r="C18" s="493">
        <s:f validation_="true">SUM(C19:C27)</s:f>
        <s:v>2945520</s:v>
      </s:c>
      <s:c r="D18" s="493">
        <s:f validation_="true">SUM(D19:D27)</s:f>
        <s:v>2945520</s:v>
      </s:c>
      <s:c r="E18" s="493">
        <s:f validation_="true">SUM(E19:E27)</s:f>
        <s:v>2945520</s:v>
      </s:c>
      <s:c r="F18" s="493">
        <s:f validation_="true">SUM(C18:E18)</s:f>
        <s:v>8836560</s:v>
      </s:c>
      <s:c r="G18" s="492">
        <s:v/>
      </s:c>
      <s:c r="H18" s="492" t="s">
        <s:v>525</s:v>
      </s:c>
    </s:row>
    <s:row r="19">
      <s:c r="A19" s="575" t="s">
        <s:v>462</s:v>
      </s:c>
      <s:c r="B19" s="537" t="s">
        <s:v>368</s:v>
      </s:c>
      <s:c r="C19" s="495">
        <s:f validation_="true">G1*12*'Исходные данне'!E18</s:f>
        <s:v>1800000</s:v>
      </s:c>
      <s:c r="D19" s="495">
        <s:f validation_="true">C19</s:f>
        <s:v>1800000</s:v>
      </s:c>
      <s:c r="E19" s="495">
        <s:f validation_="true">D19</s:f>
        <s:v>1800000</s:v>
      </s:c>
      <s:c r="F19" s="495">
        <s:f validation_="true">SUM(C19:E19)</s:f>
        <s:v>5400000</s:v>
      </s:c>
      <s:c r="G19" s="335" t="s">
        <s:v>369</s:v>
      </s:c>
      <s:c r="H19" s="335" t="s">
        <s:v>496</s:v>
      </s:c>
    </s:row>
    <s:row r="20" ht="26.25">
      <s:c r="A20" s="574" t="s">
        <s:v>463</s:v>
      </s:c>
      <s:c r="B20" s="496" t="s">
        <s:v>99</s:v>
      </s:c>
      <s:c r="C20" s="497">
        <s:f validation_="true">5*12*'Исходные данне'!E45</s:f>
        <s:v>270000</s:v>
      </s:c>
      <s:c r="D20" s="497">
        <s:f validation_="true">C20</s:f>
        <s:v>270000</s:v>
      </s:c>
      <s:c r="E20" s="497">
        <s:f validation_="true">D20</s:f>
        <s:v>270000</s:v>
      </s:c>
      <s:c r="F20" s="497">
        <s:f validation_="true">SUM(C20:E20)</s:f>
        <s:v>810000</s:v>
      </s:c>
      <s:c r="G20" s="335" t="s">
        <s:v>522</s:v>
      </s:c>
      <s:c r="H20" s="335"/>
    </s:row>
    <s:row r="21" s="244" customFormat="1">
      <s:c r="A21" s="576" t="s">
        <s:v>464</s:v>
      </s:c>
      <s:c r="B21" s="500" t="s">
        <s:v>113</s:v>
      </s:c>
      <s:c r="C21" s="501">
        <s:f validation_="true">'Исходные данне'!E47*12</s:f>
        <s:v>180000</s:v>
      </s:c>
      <s:c r="D21" s="501">
        <s:f validation_="true">C21</s:f>
        <s:v>180000</s:v>
      </s:c>
      <s:c r="E21" s="501">
        <s:f validation_="true">D21</s:f>
        <s:v>180000</s:v>
      </s:c>
      <s:c r="F21" s="501">
        <s:f validation_="true">SUM(C21:E21)</s:f>
        <s:v>540000</s:v>
      </s:c>
      <s:c r="G21" s="502"/>
      <s:c r="H21" s="502"/>
    </s:row>
    <s:row r="22" s="204" customFormat="1">
      <s:c r="A22" s="575" t="s">
        <s:v>465</s:v>
      </s:c>
      <s:c r="B22" s="538" t="s">
        <s:v>109</s:v>
      </s:c>
      <s:c r="C22" s="497">
        <s:f validation_="true">12*'Исходные данне'!E46*'Исходные данне'!D46</s:f>
        <s:v>30000</s:v>
      </s:c>
      <s:c r="D22" s="497">
        <s:f validation_="true">C22</s:f>
        <s:v>30000</s:v>
      </s:c>
      <s:c r="E22" s="497">
        <s:f validation_="true">D22</s:f>
        <s:v>30000</s:v>
      </s:c>
      <s:c r="F22" s="497">
        <s:f validation_="true">SUM(C22:E22)</s:f>
        <s:v>90000</s:v>
      </s:c>
      <s:c r="G22" s="504"/>
      <s:c r="H22" s="504"/>
    </s:row>
    <s:row r="23" s="204" customFormat="1">
      <s:c r="A23" s="577" t="s">
        <s:v>511</s:v>
      </s:c>
      <s:c r="B23" s="538" t="s">
        <s:v>510</s:v>
      </s:c>
      <s:c r="C23" s="497">
        <s:f validation_="true">'Исходные данне'!E17*12</s:f>
        <s:v>30000</s:v>
      </s:c>
      <s:c r="D23" s="497">
        <s:f validation_="true">C23</s:f>
        <s:v>30000</s:v>
      </s:c>
      <s:c r="E23" s="497">
        <s:f validation_="true">D23</s:f>
        <s:v>30000</s:v>
      </s:c>
      <s:c r="F23" s="497">
        <s:f validation_="true">SUM(C23:E23)</s:f>
        <s:v>90000</s:v>
      </s:c>
      <s:c r="G23" s="504"/>
      <s:c r="H23" s="504"/>
    </s:row>
    <s:row r="24" s="204" customFormat="1">
      <s:c r="A24" s="576" t="s">
        <s:v>512</s:v>
      </s:c>
      <s:c r="B24" s="538" t="s">
        <s:v>54</s:v>
      </s:c>
      <s:c r="C24" s="497">
        <s:f validation_="true">'Исходные данне'!E19*12</s:f>
        <s:v>15288</s:v>
      </s:c>
      <s:c r="D24" s="497">
        <s:f validation_="true">C24</s:f>
        <s:v>15288</s:v>
      </s:c>
      <s:c r="E24" s="497">
        <s:f validation_="true">D24</s:f>
        <s:v>15288</s:v>
      </s:c>
      <s:c r="F24" s="497">
        <s:f validation_="true">SUM(C24:E24)</s:f>
        <s:v>45864</s:v>
      </s:c>
      <s:c r="G24" s="504"/>
      <s:c r="H24" s="504"/>
    </s:row>
    <s:row r="25" s="204" customFormat="1">
      <s:c r="A25" s="586" t="s">
        <s:v>513</s:v>
      </s:c>
      <s:c r="B25" s="538" t="s">
        <s:v>57</s:v>
      </s:c>
      <s:c r="C25" s="497">
        <s:f validation_="true">'Исходные данне'!E20*12</s:f>
        <s:v>14232</s:v>
      </s:c>
      <s:c r="D25" s="497">
        <s:f validation_="true">C25</s:f>
        <s:v>14232</s:v>
      </s:c>
      <s:c r="E25" s="497">
        <s:f validation_="true">D25</s:f>
        <s:v>14232</s:v>
      </s:c>
      <s:c r="F25" s="497">
        <s:f validation_="true">SUM(C25:E25)</s:f>
        <s:v>42696</s:v>
      </s:c>
      <s:c r="G25" s="504"/>
      <s:c r="H25" s="504"/>
    </s:row>
    <s:row r="26" s="204" customFormat="1">
      <s:c r="A26" s="577" t="s">
        <s:v>514</s:v>
      </s:c>
      <s:c r="B26" s="538" t="s">
        <s:v>60</s:v>
      </s:c>
      <s:c r="C26" s="497">
        <s:f validation_="true">'Исходные данне'!E21*12</s:f>
        <s:v>6000</s:v>
      </s:c>
      <s:c r="D26" s="497">
        <s:f validation_="true">C26</s:f>
        <s:v>6000</s:v>
      </s:c>
      <s:c r="E26" s="497">
        <s:f validation_="true">D26</s:f>
        <s:v>6000</s:v>
      </s:c>
      <s:c r="F26" s="497">
        <s:f validation_="true">SUM(C26:E26)</s:f>
        <s:v>18000</s:v>
      </s:c>
      <s:c r="G26" s="504"/>
      <s:c r="H26" s="504"/>
    </s:row>
    <s:row r="27" s="204" customFormat="1">
      <s:c r="A27" s="576" t="s">
        <s:v>515</s:v>
      </s:c>
      <s:c r="B27" s="538" t="s">
        <s:v>516</s:v>
      </s:c>
      <s:c r="C27" s="497">
        <s:f validation_="true">'Исходные данне'!E48*12</s:f>
        <s:v>600000</s:v>
      </s:c>
      <s:c r="D27" s="497">
        <s:f validation_="true">C27</s:f>
        <s:v>600000</s:v>
      </s:c>
      <s:c r="E27" s="497">
        <s:f validation_="true">D27</s:f>
        <s:v>600000</s:v>
      </s:c>
      <s:c r="F27" s="497">
        <s:f validation_="true">SUM(C27:E27)</s:f>
        <s:v>1800000</s:v>
      </s:c>
      <s:c r="G27" s="504"/>
      <s:c r="H27" s="504"/>
    </s:row>
    <s:row r="28">
      <s:c r="A28" s="574"/>
      <s:c r="B28" s="539"/>
      <s:c r="C28" s="498"/>
      <s:c r="D28" s="498"/>
      <s:c r="E28" s="498"/>
      <s:c r="F28" s="498"/>
      <s:c r="G28" s="335"/>
      <s:c r="H28" s="335"/>
    </s:row>
    <s:row r="29" s="8" customFormat="1">
      <s:c r="A29" s="578">
        <s:v>4</s:v>
      </s:c>
      <s:c r="B29" s="540" t="s">
        <s:v>235</s:v>
      </s:c>
      <s:c r="C29" s="507">
        <s:f validation_="true">SUM(C30:C31)</s:f>
        <s:v>1400000</s:v>
      </s:c>
      <s:c r="D29" s="507">
        <s:f validation_="true">SUM(D30:D31)</s:f>
        <s:v>0</s:v>
      </s:c>
      <s:c r="E29" s="507">
        <s:f validation_="true">SUM(E30:E31)</s:f>
        <s:v>0</s:v>
      </s:c>
      <s:c r="F29" s="507">
        <s:f validation_="true">SUM(F30:F31)</s:f>
        <s:v>1400000</s:v>
      </s:c>
      <s:c r="G29" s="505">
        <s:v/>
      </s:c>
      <s:c r="H29" s="505" t="s">
        <s:v>374</s:v>
      </s:c>
    </s:row>
    <s:row r="30">
      <s:c r="A30" s="571" t="s">
        <s:v>451</s:v>
      </s:c>
      <s:c r="B30" s="533" t="s">
        <s:v>89</s:v>
      </s:c>
      <s:c r="C30" s="453">
        <s:f validation_="true">G1*'Исходные данне'!E39*4</s:f>
        <s:v>200000</s:v>
      </s:c>
      <s:c r="D30" s="453"/>
      <s:c r="E30" s="453"/>
      <s:c r="F30" s="453">
        <s:f validation_="true">SUM(C30:E30)</s:f>
        <s:v>200000</s:v>
      </s:c>
      <s:c r="G30" s="89" t="s">
        <s:v>376</s:v>
      </s:c>
      <s:c r="H30" s="89" t="s">
        <s:v>377</s:v>
      </s:c>
    </s:row>
    <s:row r="31">
      <s:c r="A31" s="570" t="s">
        <s:v>452</s:v>
      </s:c>
      <s:c r="B31" s="532" t="s">
        <s:v>378</s:v>
      </s:c>
      <s:c r="C31" s="454">
        <s:f validation_="true">G1*'Исходные данне'!E40*8</s:f>
        <s:v>1200000</s:v>
      </s:c>
      <s:c r="D31" s="454"/>
      <s:c r="E31" s="454"/>
      <s:c r="F31" s="454">
        <s:f validation_="true">SUM(C31:E31)</s:f>
        <s:v>1200000</s:v>
      </s:c>
      <s:c r="G31" s="86" t="s">
        <s:v>534</s:v>
      </s:c>
      <s:c r="H31" s="86" t="s">
        <s:v>509</s:v>
      </s:c>
    </s:row>
    <s:row r="32">
      <s:c r="A32" s="579"/>
      <s:c r="B32" s="541"/>
      <s:c r="C32" s="456"/>
      <s:c r="D32" s="456"/>
      <s:c r="E32" s="456"/>
      <s:c r="F32" s="456"/>
      <s:c r="G32" s="89"/>
      <s:c r="H32" s="89"/>
    </s:row>
    <s:row r="33" s="8" customFormat="1">
      <s:c r="A33" s="569">
        <s:v>5</s:v>
      </s:c>
      <s:c r="B33" s="531" t="s">
        <s:v>249</s:v>
      </s:c>
      <s:c r="C33" s="457">
        <s:f validation_="true">SUM(C34)</s:f>
        <s:v>3600000</s:v>
      </s:c>
      <s:c r="D33" s="457">
        <s:f validation_="true">SUM(D34)</s:f>
        <s:v>3600000</s:v>
      </s:c>
      <s:c r="E33" s="457">
        <s:f validation_="true">SUM(E34)</s:f>
        <s:v>3600000</s:v>
      </s:c>
      <s:c r="F33" s="457">
        <s:f validation_="true">SUM(F34)</s:f>
        <s:v>10800000</s:v>
      </s:c>
      <s:c r="G33" s="415">
        <s:v/>
      </s:c>
      <s:c r="H33" s="415" t="s">
        <s:v>380</s:v>
      </s:c>
    </s:row>
    <s:row r="34">
      <s:c r="A34" s="570" t="s">
        <s:v>445</s:v>
      </s:c>
      <s:c r="B34" s="532" t="s">
        <s:v>381</s:v>
      </s:c>
      <s:c r="C34" s="454">
        <s:f validation_="true">2*'Исходные данне'!E28*12</s:f>
        <s:v>3600000</s:v>
      </s:c>
      <s:c r="D34" s="454">
        <s:f validation_="true">C34</s:f>
        <s:v>3600000</s:v>
      </s:c>
      <s:c r="E34" s="454">
        <s:f validation_="true">D34</s:f>
        <s:v>3600000</s:v>
      </s:c>
      <s:c r="F34" s="454">
        <s:f validation_="true">SUM(C34:E34)</s:f>
        <s:v>10800000</s:v>
      </s:c>
      <s:c r="G34" s="86"/>
      <s:c r="H34" s="86" t="s">
        <s:v>383</s:v>
      </s:c>
    </s:row>
    <s:row r="35">
      <s:c r="A35" s="579"/>
      <s:c r="B35" s="541"/>
      <s:c r="C35" s="456"/>
      <s:c r="D35" s="456"/>
      <s:c r="E35" s="456"/>
      <s:c r="F35" s="456"/>
      <s:c r="G35" s="89"/>
      <s:c r="H35" s="89"/>
    </s:row>
    <s:row r="36" s="8" customFormat="1">
      <s:c r="A36" s="569">
        <s:v>6</s:v>
      </s:c>
      <s:c r="B36" s="531" t="s">
        <s:v>252</s:v>
      </s:c>
      <s:c r="C36" s="457">
        <s:f validation_="true">SUM(C37:C38)</s:f>
        <s:v>4200000</s:v>
      </s:c>
      <s:c r="D36" s="457">
        <s:f validation_="true">SUM(D37:D38)</s:f>
        <s:v>4200000</s:v>
      </s:c>
      <s:c r="E36" s="457">
        <s:f validation_="true">SUM(E37:E38)</s:f>
        <s:v>4200000</s:v>
      </s:c>
      <s:c r="F36" s="457">
        <s:f validation_="true">SUM(C36:E36)</s:f>
        <s:v>12600000</s:v>
      </s:c>
      <s:c r="G36" s="415">
        <s:v/>
      </s:c>
      <s:c r="H36" s="415" t="s">
        <s:v>384</s:v>
      </s:c>
    </s:row>
    <s:row r="37">
      <s:c r="A37" s="570" t="s">
        <s:v>486</s:v>
      </s:c>
      <s:c r="B37" s="532" t="s">
        <s:v>136</s:v>
      </s:c>
      <s:c r="C37" s="454">
        <s:f validation_="true">G1*12*'Исходные данне'!E58</s:f>
        <s:v>3000000</s:v>
      </s:c>
      <s:c r="D37" s="454">
        <s:v>3000000</s:v>
      </s:c>
      <s:c r="E37" s="454">
        <s:v>3000000</s:v>
      </s:c>
      <s:c r="F37" s="454">
        <s:f validation_="true">SUM(C37:E37)</s:f>
        <s:v>9000000</s:v>
      </s:c>
      <s:c r="G37" s="86" t="s">
        <s:v>253</s:v>
      </s:c>
      <s:c r="H37" s="86" t="s">
        <s:v>386</s:v>
      </s:c>
    </s:row>
    <s:row r="38">
      <s:c r="A38" s="571" t="s">
        <s:v>487</s:v>
      </s:c>
      <s:c r="B38" s="533" t="s">
        <s:v>139</s:v>
      </s:c>
      <s:c r="C38" s="453">
        <s:f validation_="true">G1*12*'Исходные данне'!E59</s:f>
        <s:v>1200000</s:v>
      </s:c>
      <s:c r="D38" s="453">
        <s:v>1200000</s:v>
      </s:c>
      <s:c r="E38" s="453">
        <s:v>1200000</s:v>
      </s:c>
      <s:c r="F38" s="453">
        <s:f validation_="true">SUM(C38:E38)</s:f>
        <s:v>3600000</s:v>
      </s:c>
      <s:c r="G38" s="89" t="s">
        <s:v>387</s:v>
      </s:c>
      <s:c r="H38" s="89" t="s">
        <s:v>388</s:v>
      </s:c>
    </s:row>
    <s:row r="39">
      <s:c r="A39" s="572"/>
      <s:c r="B39" s="534"/>
      <s:c r="C39" s="455"/>
      <s:c r="D39" s="455"/>
      <s:c r="E39" s="455"/>
      <s:c r="F39" s="455"/>
      <s:c r="G39" s="86"/>
      <s:c r="H39" s="86"/>
    </s:row>
    <s:row r="40" s="7" customFormat="1">
      <s:c r="A40" s="569">
        <s:v>7</s:v>
      </s:c>
      <s:c r="B40" s="531" t="s">
        <s:v>183</s:v>
      </s:c>
      <s:c r="C40" s="457">
        <s:f validation_="true">SUM(C41:C44)</s:f>
        <s:v>0</s:v>
      </s:c>
      <s:c r="D40" s="457">
        <s:f validation_="true">SUM(D41:D44)</s:f>
        <s:v>0</s:v>
      </s:c>
      <s:c r="E40" s="457">
        <s:f validation_="true">SUM(E41:E44)</s:f>
        <s:v>0</s:v>
      </s:c>
      <s:c r="F40" s="457">
        <s:f validation_="true">SUM(C40:E40)</s:f>
        <s:v>0</s:v>
      </s:c>
      <s:c r="G40" s="416">
        <s:v/>
      </s:c>
      <s:c r="H40" s="416" t="s">
        <s:v>389</s:v>
      </s:c>
    </s:row>
    <s:row r="41">
      <s:c r="A41" s="571" t="s">
        <s:v>498</s:v>
      </s:c>
      <s:c r="B41" s="533" t="s">
        <s:v>390</s:v>
      </s:c>
      <s:c r="C41" s="453"/>
      <s:c r="D41" s="453"/>
      <s:c r="E41" s="453"/>
      <s:c r="F41" s="453"/>
      <s:c r="G41" s="89" t="s">
        <s:v>391</s:v>
      </s:c>
      <s:c r="H41" s="89" t="s">
        <s:v>392</s:v>
      </s:c>
    </s:row>
    <s:row r="42">
      <s:c r="A42" s="570" t="s">
        <s:v>499</s:v>
      </s:c>
      <s:c r="B42" s="532" t="s">
        <s:v>283</s:v>
      </s:c>
      <s:c r="C42" s="454"/>
      <s:c r="D42" s="454"/>
      <s:c r="E42" s="454"/>
      <s:c r="F42" s="454"/>
      <s:c r="G42" s="86" t="s">
        <s:v>393</s:v>
      </s:c>
      <s:c r="H42" s="86" t="s">
        <s:v>394</s:v>
      </s:c>
    </s:row>
    <s:row r="43">
      <s:c r="A43" s="571" t="s">
        <s:v>518</s:v>
      </s:c>
      <s:c r="B43" s="533" t="s">
        <s:v>395</s:v>
      </s:c>
      <s:c r="C43" s="453"/>
      <s:c r="D43" s="453"/>
      <s:c r="E43" s="453"/>
      <s:c r="F43" s="453"/>
      <s:c r="G43" s="89" t="s">
        <s:v>393</s:v>
      </s:c>
      <s:c r="H43" s="89" t="s">
        <s:v>396</s:v>
      </s:c>
    </s:row>
    <s:row r="44">
      <s:c r="A44" s="570" t="s">
        <s:v>519</s:v>
      </s:c>
      <s:c r="B44" s="532" t="s">
        <s:v>397</s:v>
      </s:c>
      <s:c r="C44" s="454"/>
      <s:c r="D44" s="454"/>
      <s:c r="E44" s="454"/>
      <s:c r="F44" s="454"/>
      <s:c r="G44" s="86" t="s">
        <s:v>398</s:v>
      </s:c>
      <s:c r="H44" s="86" t="s">
        <s:v>399</s:v>
      </s:c>
    </s:row>
    <s:row r="45">
      <s:c r="A45" s="579"/>
      <s:c r="B45" s="541"/>
      <s:c r="C45" s="456"/>
      <s:c r="D45" s="456"/>
      <s:c r="E45" s="456"/>
      <s:c r="F45" s="456"/>
      <s:c r="G45" s="89"/>
      <s:c r="H45" s="89"/>
    </s:row>
    <s:row r="46" s="7" customFormat="1">
      <s:c r="A46" s="569">
        <s:v>8</s:v>
      </s:c>
      <s:c r="B46" s="531" t="s">
        <s:v>187</s:v>
      </s:c>
      <s:c r="C46" s="457">
        <s:f validation_="true">SUM(C47:C50)</s:f>
        <s:v>9193099.99999999</s:v>
      </s:c>
      <s:c r="D46" s="457">
        <s:f validation_="true">SUM(D47:D50)</s:f>
        <s:v>5909850</s:v>
      </s:c>
      <s:c r="E46" s="457">
        <s:f validation_="true">SUM(E47:E50)</s:f>
        <s:v>1969950</s:v>
      </s:c>
      <s:c r="F46" s="457"/>
      <s:c r="G46" s="416" t="s">
        <s:v>491</s:v>
      </s:c>
      <s:c r="H46" s="416" t="s">
        <s:v>493</s:v>
      </s:c>
    </s:row>
    <s:row r="47">
      <s:c r="A47" s="570" t="s">
        <s:v>500</s:v>
      </s:c>
      <s:c r="B47" s="532" t="s">
        <s:v>20</s:v>
      </s:c>
      <s:c r="C47" s="454">
        <s:f validation_="true">'Расчёт остаточной стоимости'!D15*$G$1</s:f>
        <s:v>1750000</s:v>
      </s:c>
      <s:c r="D47" s="454">
        <s:f validation_="true">'Расчёт остаточной стоимости'!E15*$G$1</s:f>
        <s:v>1125000</s:v>
      </s:c>
      <s:c r="E47" s="454">
        <s:f validation_="true">'Расчёт остаточной стоимости'!F15*$G$1</s:f>
        <s:v>375000</s:v>
      </s:c>
      <s:c r="F47" s="454"/>
      <s:c r="G47" s="86" t="s">
        <s:v>408</s:v>
      </s:c>
      <s:c r="H47" s="86" t="s">
        <s:v>409</s:v>
      </s:c>
    </s:row>
    <s:row r="48">
      <s:c r="A48" s="571" t="s">
        <s:v>501</s:v>
      </s:c>
      <s:c r="B48" s="533" t="s">
        <s:v>410</s:v>
      </s:c>
      <s:c r="C48" s="453">
        <s:f validation_="true">'Расчёт остаточной стоимости'!D16*$G$1</s:f>
        <s:v>3243099.99999999</s:v>
      </s:c>
      <s:c r="D48" s="453">
        <s:f validation_="true">'Расчёт остаточной стоимости'!E16*$G$1</s:f>
        <s:v>2084850</s:v>
      </s:c>
      <s:c r="E48" s="453">
        <s:f validation_="true">'Расчёт остаточной стоимости'!F16*$G$1</s:f>
        <s:v>694950</s:v>
      </s:c>
      <s:c r="F48" s="453"/>
      <s:c r="G48" s="89" t="s">
        <s:v>408</s:v>
      </s:c>
      <s:c r="H48" s="89" t="s">
        <s:v>414</s:v>
      </s:c>
    </s:row>
    <s:row r="49">
      <s:c r="A49" s="570" t="s">
        <s:v>502</s:v>
      </s:c>
      <s:c r="B49" s="532" t="s">
        <s:v>346</s:v>
      </s:c>
      <s:c r="C49" s="454">
        <s:f validation_="true">'Расчёт остаточной стоимости'!D17*$G$1</s:f>
        <s:v>2450000</s:v>
      </s:c>
      <s:c r="D49" s="454">
        <s:f validation_="true">'Расчёт остаточной стоимости'!E17*$G$1</s:f>
        <s:v>1575000</s:v>
      </s:c>
      <s:c r="E49" s="454">
        <s:f validation_="true">'Расчёт остаточной стоимости'!F17*$G$1</s:f>
        <s:v>525000</s:v>
      </s:c>
      <s:c r="F49" s="454"/>
      <s:c r="G49" s="86" t="s">
        <s:v>408</s:v>
      </s:c>
      <s:c r="H49" s="86" t="s">
        <s:v>418</s:v>
      </s:c>
    </s:row>
    <s:row r="50">
      <s:c r="A50" s="571" t="s">
        <s:v>520</s:v>
      </s:c>
      <s:c r="B50" s="533" t="s">
        <s:v>32</s:v>
      </s:c>
      <s:c r="C50" s="453">
        <s:f validation_="true">'Расчёт остаточной стоимости'!D18*$G$1</s:f>
        <s:v>1750000</s:v>
      </s:c>
      <s:c r="D50" s="453">
        <s:f validation_="true">'Расчёт остаточной стоимости'!E18*$G$1</s:f>
        <s:v>1125000</s:v>
      </s:c>
      <s:c r="E50" s="453">
        <s:f validation_="true">'Расчёт остаточной стоимости'!F18*$G$1</s:f>
        <s:v>375000</s:v>
      </s:c>
      <s:c r="F50" s="453"/>
      <s:c r="G50" s="89" t="s">
        <s:v>408</s:v>
      </s:c>
      <s:c r="H50" s="89" t="s">
        <s:v>409</s:v>
      </s:c>
    </s:row>
    <s:row r="52" s="547" customFormat="1">
      <s:c r="A52" s="580"/>
      <s:c r="B52" s="548" t="s">
        <s:v>494</s:v>
      </s:c>
      <s:c r="C52" s="549">
        <s:f validation_="true">SUM(C4+C11+C18+C29+C33+C36+C40)</s:f>
        <s:v>40248520</s:v>
      </s:c>
      <s:c r="D52" s="549">
        <s:f validation_="true">SUM(D4+D11+D18+D29+D33+D36+D40)</s:f>
        <s:v>10745520</s:v>
      </s:c>
      <s:c r="E52" s="549">
        <s:f validation_="true">SUM(E4+E11+E18+E29+E33+E36+E40)</s:f>
        <s:v>10745520</s:v>
      </s:c>
      <s:c r="F52" s="549">
        <s:f validation_="true">SUM(C52:E52)</s:f>
        <s:v>61739560</s:v>
      </s:c>
    </s:row>
    <s:row r="53" s="521" customFormat="1">
      <s:c r="A53" s="581"/>
      <s:c r="B53" s="543" t="s">
        <s:v>332</s:v>
      </s:c>
      <s:c r="C53" s="105">
        <s:f validation_="true">SUM(C4+C11+C18+C29+C33+C36+C40)</s:f>
        <s:v>40248520</s:v>
      </s:c>
      <s:c r="D53" s="105">
        <s:f validation_="true">C53+D52</s:f>
        <s:v>50994040</s:v>
      </s:c>
      <s:c r="E53" s="105">
        <s:f validation_="true">D53+E52</s:f>
        <s:v>61739560</s:v>
      </s:c>
      <s:c r="F53" s="101"/>
    </s:row>
    <s:row r="54" s="550" customFormat="1" ht="26.25">
      <s:c r="A54" s="582"/>
      <s:c r="B54" s="551" t="s">
        <s:v>334</s:v>
      </s:c>
      <s:c r="C54" s="552">
        <s:f validation_="true">C53-C46</s:f>
        <s:v>31055420</s:v>
      </s:c>
      <s:c r="D54" s="552">
        <s:f validation_="true">D53-D46</s:f>
        <s:v>45084190</s:v>
      </s:c>
      <s:c r="E54" s="552">
        <s:f validation_="true">E53-E46</s:f>
        <s:v>59769610</s:v>
      </s:c>
      <s:c r="F54" s="553"/>
      <s:c r="I54" s="550"/>
    </s:row>
    <s:row r="55" s="521" customFormat="1">
      <s:c r="A55" s="581"/>
      <s:c r="B55" s="546"/>
      <s:c r="C55" s="522"/>
      <s:c r="D55" s="522"/>
      <s:c r="E55" s="522"/>
      <s:c r="F55" s="522"/>
    </s:row>
    <s:row r="57">
      <s:c r="E57" s="31"/>
    </s:row>
    <s:row r="59">
      <s:c r="D59" s="31"/>
    </s:row>
  </s:sheetData>
  <s:hyperlinks>
    <s:hyperlink ref="H15" r:id="rId9"/>
  </s:hyperlinks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Яндекс Таблицы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